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Desktop\GIÁO TRÌNH DSEB\KÌ 4\DATABASE\MIDTERM PROJECT\Team_2_FirmDataHub\data\"/>
    </mc:Choice>
  </mc:AlternateContent>
  <xr:revisionPtr revIDLastSave="0" documentId="13_ncr:1_{2C5DAA56-4C62-4767-B5FB-D2099BAD0EB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panel_2020_2024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1" i="4" l="1"/>
  <c r="I51" i="4"/>
  <c r="AN50" i="4"/>
  <c r="I50" i="4"/>
  <c r="AN49" i="4"/>
  <c r="I49" i="4"/>
  <c r="AN48" i="4"/>
  <c r="I48" i="4"/>
  <c r="AN47" i="4"/>
  <c r="I47" i="4"/>
  <c r="AN46" i="4"/>
  <c r="I46" i="4"/>
  <c r="AN45" i="4"/>
  <c r="I45" i="4"/>
  <c r="AN44" i="4"/>
  <c r="AN43" i="4"/>
  <c r="AN42" i="4"/>
  <c r="AN41" i="4"/>
  <c r="I41" i="4"/>
  <c r="AN40" i="4"/>
  <c r="I40" i="4"/>
  <c r="AN39" i="4"/>
  <c r="I39" i="4"/>
  <c r="AN38" i="4"/>
  <c r="I38" i="4"/>
  <c r="AN37" i="4"/>
  <c r="I37" i="4"/>
  <c r="AN36" i="4"/>
  <c r="I36" i="4"/>
  <c r="AN35" i="4"/>
  <c r="I35" i="4"/>
  <c r="AN34" i="4"/>
  <c r="I34" i="4"/>
  <c r="AN33" i="4"/>
  <c r="I33" i="4"/>
  <c r="AN32" i="4"/>
  <c r="I32" i="4"/>
  <c r="AN31" i="4"/>
  <c r="I31" i="4"/>
  <c r="AN30" i="4"/>
  <c r="I30" i="4"/>
  <c r="AN29" i="4"/>
  <c r="I29" i="4"/>
  <c r="AN28" i="4"/>
  <c r="I28" i="4"/>
  <c r="AN27" i="4"/>
  <c r="I27" i="4"/>
  <c r="AN26" i="4"/>
  <c r="AI26" i="4"/>
  <c r="U26" i="4"/>
  <c r="S26" i="4"/>
  <c r="R26" i="4"/>
  <c r="I26" i="4"/>
  <c r="C26" i="4"/>
  <c r="AN25" i="4"/>
  <c r="AI25" i="4"/>
  <c r="U25" i="4"/>
  <c r="S25" i="4"/>
  <c r="R25" i="4"/>
  <c r="I25" i="4"/>
  <c r="C25" i="4"/>
  <c r="AN24" i="4"/>
  <c r="AI24" i="4"/>
  <c r="U24" i="4"/>
  <c r="S24" i="4"/>
  <c r="R24" i="4"/>
  <c r="I24" i="4"/>
  <c r="F24" i="4"/>
  <c r="C24" i="4"/>
  <c r="AN23" i="4"/>
  <c r="AI23" i="4"/>
  <c r="U23" i="4"/>
  <c r="R23" i="4"/>
  <c r="I23" i="4"/>
  <c r="F23" i="4"/>
  <c r="E23" i="4"/>
  <c r="C23" i="4"/>
  <c r="AN22" i="4"/>
  <c r="AI22" i="4"/>
  <c r="U22" i="4"/>
  <c r="R22" i="4"/>
  <c r="I22" i="4"/>
  <c r="F22" i="4"/>
  <c r="E22" i="4"/>
  <c r="C22" i="4"/>
  <c r="AN21" i="4"/>
  <c r="AI21" i="4"/>
  <c r="U21" i="4"/>
  <c r="R21" i="4"/>
  <c r="I21" i="4"/>
  <c r="C21" i="4"/>
  <c r="AN20" i="4"/>
  <c r="U20" i="4"/>
  <c r="R20" i="4"/>
  <c r="I20" i="4"/>
  <c r="E20" i="4"/>
  <c r="C20" i="4"/>
  <c r="AN19" i="4"/>
  <c r="AI19" i="4"/>
  <c r="U19" i="4"/>
  <c r="R19" i="4"/>
  <c r="I19" i="4"/>
  <c r="F19" i="4"/>
  <c r="E19" i="4"/>
  <c r="C19" i="4"/>
  <c r="AN18" i="4"/>
  <c r="AI18" i="4"/>
  <c r="U18" i="4"/>
  <c r="R18" i="4"/>
  <c r="I18" i="4"/>
  <c r="F18" i="4"/>
  <c r="E18" i="4"/>
  <c r="C18" i="4"/>
  <c r="AN17" i="4"/>
  <c r="AI17" i="4"/>
  <c r="U17" i="4"/>
  <c r="R17" i="4"/>
  <c r="I17" i="4"/>
  <c r="F17" i="4"/>
  <c r="E17" i="4"/>
  <c r="C17" i="4"/>
  <c r="AN16" i="4"/>
  <c r="U16" i="4"/>
  <c r="R16" i="4"/>
  <c r="I16" i="4"/>
  <c r="C16" i="4"/>
  <c r="AN15" i="4"/>
  <c r="U15" i="4"/>
  <c r="R15" i="4"/>
  <c r="I15" i="4"/>
  <c r="C15" i="4"/>
  <c r="AN14" i="4"/>
  <c r="U14" i="4"/>
  <c r="R14" i="4"/>
  <c r="I14" i="4"/>
  <c r="E14" i="4"/>
  <c r="C14" i="4"/>
  <c r="AN13" i="4"/>
  <c r="AI13" i="4"/>
  <c r="U13" i="4"/>
  <c r="R13" i="4"/>
  <c r="I13" i="4"/>
  <c r="E13" i="4"/>
  <c r="C13" i="4"/>
  <c r="AN12" i="4"/>
  <c r="AI12" i="4"/>
  <c r="U12" i="4"/>
  <c r="R12" i="4"/>
  <c r="I12" i="4"/>
  <c r="F12" i="4"/>
  <c r="E12" i="4"/>
  <c r="C12" i="4"/>
  <c r="AN11" i="4"/>
  <c r="AI11" i="4"/>
  <c r="R11" i="4"/>
  <c r="F11" i="4"/>
  <c r="E11" i="4"/>
  <c r="D11" i="4"/>
  <c r="C11" i="4"/>
  <c r="AN10" i="4"/>
  <c r="AI10" i="4"/>
  <c r="R10" i="4"/>
  <c r="F10" i="4"/>
  <c r="E10" i="4"/>
  <c r="D10" i="4"/>
  <c r="C10" i="4"/>
  <c r="AN9" i="4"/>
  <c r="AI9" i="4"/>
  <c r="R9" i="4"/>
  <c r="F9" i="4"/>
  <c r="E9" i="4"/>
  <c r="C9" i="4"/>
  <c r="AN8" i="4"/>
  <c r="AI8" i="4"/>
  <c r="R8" i="4"/>
  <c r="I8" i="4"/>
  <c r="F8" i="4"/>
  <c r="E8" i="4"/>
  <c r="C8" i="4"/>
  <c r="AN7" i="4"/>
  <c r="AI7" i="4"/>
  <c r="R7" i="4"/>
  <c r="I7" i="4"/>
  <c r="F7" i="4"/>
  <c r="E7" i="4"/>
  <c r="C7" i="4"/>
  <c r="AN6" i="4"/>
  <c r="AI6" i="4"/>
  <c r="U6" i="4"/>
  <c r="R6" i="4"/>
  <c r="I6" i="4"/>
  <c r="C6" i="4"/>
  <c r="AN5" i="4"/>
  <c r="AI5" i="4"/>
  <c r="U5" i="4"/>
  <c r="R5" i="4"/>
  <c r="I5" i="4"/>
  <c r="C5" i="4"/>
  <c r="AN4" i="4"/>
  <c r="AI4" i="4"/>
  <c r="U4" i="4"/>
  <c r="R4" i="4"/>
  <c r="I4" i="4"/>
  <c r="C4" i="4"/>
  <c r="AN3" i="4"/>
  <c r="AI3" i="4"/>
  <c r="U3" i="4"/>
  <c r="R3" i="4"/>
  <c r="I3" i="4"/>
  <c r="C3" i="4"/>
  <c r="AN2" i="4"/>
  <c r="AI2" i="4"/>
  <c r="U2" i="4"/>
  <c r="R2" i="4"/>
  <c r="I2" i="4"/>
</calcChain>
</file>

<file path=xl/sharedStrings.xml><?xml version="1.0" encoding="utf-8"?>
<sst xmlns="http://schemas.openxmlformats.org/spreadsheetml/2006/main" count="1343" uniqueCount="593">
  <si>
    <t>Ticker</t>
  </si>
  <si>
    <t>CII</t>
  </si>
  <si>
    <t>FCN</t>
  </si>
  <si>
    <t>HHV</t>
  </si>
  <si>
    <t>DPG</t>
  </si>
  <si>
    <t>PHC</t>
  </si>
  <si>
    <t>TCD</t>
  </si>
  <si>
    <t>GSP</t>
  </si>
  <si>
    <t>VNF</t>
  </si>
  <si>
    <t>VNL</t>
  </si>
  <si>
    <t>VIP</t>
  </si>
  <si>
    <t>PDN</t>
  </si>
  <si>
    <t>QNP</t>
  </si>
  <si>
    <t>DQC</t>
  </si>
  <si>
    <t>BBC</t>
  </si>
  <si>
    <t>LSS</t>
  </si>
  <si>
    <t>TLH</t>
  </si>
  <si>
    <t>TMT</t>
  </si>
  <si>
    <t>DMC</t>
  </si>
  <si>
    <t>DBD</t>
  </si>
  <si>
    <t>NSC</t>
  </si>
  <si>
    <t>YearEnd</t>
  </si>
  <si>
    <t>Managerial/Inside ownership</t>
  </si>
  <si>
    <t>State ownership</t>
  </si>
  <si>
    <t>Institutional ownership</t>
  </si>
  <si>
    <t>Foreign ownership</t>
  </si>
  <si>
    <t>Total share outstanding</t>
  </si>
  <si>
    <t>Share_price</t>
  </si>
  <si>
    <t>Market value of equity</t>
  </si>
  <si>
    <t>Divident payment</t>
  </si>
  <si>
    <t>EPS</t>
  </si>
  <si>
    <t>Total sales revenue</t>
  </si>
  <si>
    <t>Net sales revenue</t>
  </si>
  <si>
    <t>Net operating income</t>
  </si>
  <si>
    <t>Net Income</t>
  </si>
  <si>
    <t>Selling expenses</t>
  </si>
  <si>
    <t>General and administrative expenditure</t>
  </si>
  <si>
    <t>Merchandise purchase of the year</t>
  </si>
  <si>
    <t>Work-in-progess goods purchase</t>
  </si>
  <si>
    <t>Outside manufacturing expenses</t>
  </si>
  <si>
    <t>Manufacturing overhead (Indirect cost)</t>
  </si>
  <si>
    <t>Consumption of raw material</t>
  </si>
  <si>
    <t>Production cost</t>
  </si>
  <si>
    <t>Total assets</t>
  </si>
  <si>
    <t>Total liabilities</t>
  </si>
  <si>
    <t>Total shareholders' equity</t>
  </si>
  <si>
    <t>Current assets</t>
  </si>
  <si>
    <t>Current liabiltiies</t>
  </si>
  <si>
    <t>Long-term debt</t>
  </si>
  <si>
    <t>Total inventory</t>
  </si>
  <si>
    <t>Net plant, property and equipment</t>
  </si>
  <si>
    <t>Value of intangible assets</t>
  </si>
  <si>
    <t>Net cash from operating activities</t>
  </si>
  <si>
    <t>Cash flows from investing activities</t>
  </si>
  <si>
    <t>Capital expenditure</t>
  </si>
  <si>
    <t>Cash and cash equivalent</t>
  </si>
  <si>
    <t>R&amp;D expenditure</t>
  </si>
  <si>
    <t>Product innovation</t>
  </si>
  <si>
    <t>Process innovation</t>
  </si>
  <si>
    <t>Growth ratio</t>
  </si>
  <si>
    <t>Number of employees</t>
  </si>
  <si>
    <t>Firm age</t>
  </si>
  <si>
    <t>NULL</t>
  </si>
  <si>
    <t>30,62</t>
  </si>
  <si>
    <t>7,51</t>
  </si>
  <si>
    <t>37,50</t>
  </si>
  <si>
    <t>485,53</t>
  </si>
  <si>
    <t>null</t>
  </si>
  <si>
    <t>742,10</t>
  </si>
  <si>
    <t>113,57</t>
  </si>
  <si>
    <t>997,36</t>
  </si>
  <si>
    <t>877,25</t>
  </si>
  <si>
    <t>415,52</t>
  </si>
  <si>
    <t>461,73</t>
  </si>
  <si>
    <t>394,82</t>
  </si>
  <si>
    <t>231,69</t>
  </si>
  <si>
    <t>179,30</t>
  </si>
  <si>
    <t>13,67</t>
  </si>
  <si>
    <t>481,34</t>
  </si>
  <si>
    <t>0.0.8</t>
  </si>
  <si>
    <t>5,17</t>
  </si>
  <si>
    <t>36,85</t>
  </si>
  <si>
    <t>610,15</t>
  </si>
  <si>
    <t>801,54</t>
  </si>
  <si>
    <t>201,53</t>
  </si>
  <si>
    <t>1.104,14</t>
  </si>
  <si>
    <t>1.298,80</t>
  </si>
  <si>
    <t>641,30</t>
  </si>
  <si>
    <t>657,60</t>
  </si>
  <si>
    <t>542,30</t>
  </si>
  <si>
    <t>329,20</t>
  </si>
  <si>
    <t>309,60</t>
  </si>
  <si>
    <t>755,10</t>
  </si>
  <si>
    <t>4,75</t>
  </si>
  <si>
    <t>52,35</t>
  </si>
  <si>
    <t>1.493,94</t>
  </si>
  <si>
    <t>758,11</t>
  </si>
  <si>
    <t>735,83</t>
  </si>
  <si>
    <t>507,09</t>
  </si>
  <si>
    <t>329,48</t>
  </si>
  <si>
    <t>410,27</t>
  </si>
  <si>
    <t>26,75</t>
  </si>
  <si>
    <t>982,92</t>
  </si>
  <si>
    <t>182,52</t>
  </si>
  <si>
    <t>336,18</t>
  </si>
  <si>
    <t>89,62</t>
  </si>
  <si>
    <t>0.1 (?)</t>
  </si>
  <si>
    <t>39,38</t>
  </si>
  <si>
    <t>50,21</t>
  </si>
  <si>
    <t>1.521,53</t>
  </si>
  <si>
    <t>762,49</t>
  </si>
  <si>
    <t>759,03</t>
  </si>
  <si>
    <t>653,89</t>
  </si>
  <si>
    <t>461,17</t>
  </si>
  <si>
    <t>295,83</t>
  </si>
  <si>
    <t>47,33</t>
  </si>
  <si>
    <t>864,27</t>
  </si>
  <si>
    <t>0,19</t>
  </si>
  <si>
    <t>204,99</t>
  </si>
  <si>
    <t>94,32</t>
  </si>
  <si>
    <t>0,64</t>
  </si>
  <si>
    <t>182,20</t>
  </si>
  <si>
    <t>0.12 (?)</t>
  </si>
  <si>
    <t>35,78</t>
  </si>
  <si>
    <t>68,71</t>
  </si>
  <si>
    <t>1.692,30</t>
  </si>
  <si>
    <t>839,48</t>
  </si>
  <si>
    <t>852,82</t>
  </si>
  <si>
    <t>626,70</t>
  </si>
  <si>
    <t>444,91</t>
  </si>
  <si>
    <t>380,90</t>
  </si>
  <si>
    <t>40,56</t>
  </si>
  <si>
    <t>1.059,75</t>
  </si>
  <si>
    <t>0,13</t>
  </si>
  <si>
    <t>290,81</t>
  </si>
  <si>
    <t>324,77</t>
  </si>
  <si>
    <t>129,19</t>
  </si>
  <si>
    <t>?</t>
  </si>
  <si>
    <t>4,085.34</t>
  </si>
  <si>
    <t>4,084.53</t>
  </si>
  <si>
    <t>93.45</t>
  </si>
  <si>
    <t>78.98</t>
  </si>
  <si>
    <t>52.18</t>
  </si>
  <si>
    <t>57.80</t>
  </si>
  <si>
    <t>3,277.53</t>
  </si>
  <si>
    <t>38.77</t>
  </si>
  <si>
    <t>2,774.34</t>
  </si>
  <si>
    <t>1,294.25</t>
  </si>
  <si>
    <t>1,480.09</t>
  </si>
  <si>
    <t>2,219.28</t>
  </si>
  <si>
    <t>1,294.10</t>
  </si>
  <si>
    <t>0.15</t>
  </si>
  <si>
    <t>1,643.23</t>
  </si>
  <si>
    <t>211.58</t>
  </si>
  <si>
    <t>106.14</t>
  </si>
  <si>
    <t>413.23</t>
  </si>
  <si>
    <t>-7.97</t>
  </si>
  <si>
    <t>-10.58</t>
  </si>
  <si>
    <t>151.95</t>
  </si>
  <si>
    <t>0.00</t>
  </si>
  <si>
    <t>4,381.000000</t>
  </si>
  <si>
    <t>4,645.96</t>
  </si>
  <si>
    <t>4,644.78</t>
  </si>
  <si>
    <t>546.73</t>
  </si>
  <si>
    <t>456.34</t>
  </si>
  <si>
    <t>86.65</t>
  </si>
  <si>
    <t>59.33</t>
  </si>
  <si>
    <t>5,202.34</t>
  </si>
  <si>
    <t>67.26</t>
  </si>
  <si>
    <t>4,195.21</t>
  </si>
  <si>
    <t>2,276.57</t>
  </si>
  <si>
    <t>1,918.64</t>
  </si>
  <si>
    <t>3,635.98</t>
  </si>
  <si>
    <t>2,276.43</t>
  </si>
  <si>
    <t>2,880.73</t>
  </si>
  <si>
    <t>207.57</t>
  </si>
  <si>
    <t>100.40</t>
  </si>
  <si>
    <t>-428.06</t>
  </si>
  <si>
    <t>-58.91</t>
  </si>
  <si>
    <t>-6.42</t>
  </si>
  <si>
    <t>62.33</t>
  </si>
  <si>
    <t>1,779.91</t>
  </si>
  <si>
    <t>1,746.28</t>
  </si>
  <si>
    <t>4.27</t>
  </si>
  <si>
    <t>1.81</t>
  </si>
  <si>
    <t>39.33</t>
  </si>
  <si>
    <t>49.37</t>
  </si>
  <si>
    <t>1,675.85</t>
  </si>
  <si>
    <t>27.94</t>
  </si>
  <si>
    <t>76.93</t>
  </si>
  <si>
    <t>1,223.15</t>
  </si>
  <si>
    <t>1,386.39</t>
  </si>
  <si>
    <t>1,706.53</t>
  </si>
  <si>
    <t>1,289.23</t>
  </si>
  <si>
    <t>417.30</t>
  </si>
  <si>
    <t>1,320.65</t>
  </si>
  <si>
    <t>1,218.33</t>
  </si>
  <si>
    <t>44.90</t>
  </si>
  <si>
    <t>1,078.47</t>
  </si>
  <si>
    <t>260.41</t>
  </si>
  <si>
    <t>50.77</t>
  </si>
  <si>
    <t>433.85</t>
  </si>
  <si>
    <t>-42.31</t>
  </si>
  <si>
    <t>-12.71</t>
  </si>
  <si>
    <t>62.75</t>
  </si>
  <si>
    <t>1,122.000000</t>
  </si>
  <si>
    <t>2.52</t>
  </si>
  <si>
    <t>0.06</t>
  </si>
  <si>
    <t>0.04</t>
  </si>
  <si>
    <t>0.07</t>
  </si>
  <si>
    <t>3.21</t>
  </si>
  <si>
    <t>0.05</t>
  </si>
  <si>
    <t>2.61</t>
  </si>
  <si>
    <t>2.87</t>
  </si>
  <si>
    <t>2.66</t>
  </si>
  <si>
    <t>0.46</t>
  </si>
  <si>
    <t>2.73</t>
  </si>
  <si>
    <t>2.60</t>
  </si>
  <si>
    <t>0.26</t>
  </si>
  <si>
    <t>-0.13</t>
  </si>
  <si>
    <t>-0.25</t>
  </si>
  <si>
    <t>-0.00</t>
  </si>
  <si>
    <t>0.03</t>
  </si>
  <si>
    <t>1,310.000000</t>
  </si>
  <si>
    <t>3,043.36</t>
  </si>
  <si>
    <t>3,027.21</t>
  </si>
  <si>
    <t>68.47</t>
  </si>
  <si>
    <t>48.41</t>
  </si>
  <si>
    <t>79.32</t>
  </si>
  <si>
    <t>55.62</t>
  </si>
  <si>
    <t>3,190.85</t>
  </si>
  <si>
    <t>37.62</t>
  </si>
  <si>
    <t>2,503.14</t>
  </si>
  <si>
    <t>2,795.01</t>
  </si>
  <si>
    <t>3,506.42</t>
  </si>
  <si>
    <t>3,070.88</t>
  </si>
  <si>
    <t>435.54</t>
  </si>
  <si>
    <t>2,998.00</t>
  </si>
  <si>
    <t>2,947.61</t>
  </si>
  <si>
    <t>23.97</t>
  </si>
  <si>
    <t>2,440.93</t>
  </si>
  <si>
    <t>255.55</t>
  </si>
  <si>
    <t>53.12</t>
  </si>
  <si>
    <t>-97.87</t>
  </si>
  <si>
    <t>0.88</t>
  </si>
  <si>
    <t>-5.11</t>
  </si>
  <si>
    <t>2,652.37</t>
  </si>
  <si>
    <t>2,634.46</t>
  </si>
  <si>
    <t>-29.52</t>
  </si>
  <si>
    <t>2.40</t>
  </si>
  <si>
    <t>65.12</t>
  </si>
  <si>
    <t>53.38</t>
  </si>
  <si>
    <t>1,415.68</t>
  </si>
  <si>
    <t>57.17</t>
  </si>
  <si>
    <t>397.30</t>
  </si>
  <si>
    <t>547.66</t>
  </si>
  <si>
    <t>2,169.75</t>
  </si>
  <si>
    <t>1,732.30</t>
  </si>
  <si>
    <t>437.45</t>
  </si>
  <si>
    <t>1,637.45</t>
  </si>
  <si>
    <t>1,545.48</t>
  </si>
  <si>
    <t>9.48</t>
  </si>
  <si>
    <t>1,392.00</t>
  </si>
  <si>
    <t>249.45</t>
  </si>
  <si>
    <t>52.74</t>
  </si>
  <si>
    <t>-362.04</t>
  </si>
  <si>
    <t>90.36</t>
  </si>
  <si>
    <t>-13.63</t>
  </si>
  <si>
    <t>28.90</t>
  </si>
  <si>
    <t>-8,818.000000</t>
  </si>
  <si>
    <t>2,338.00</t>
  </si>
  <si>
    <t>2,325.79</t>
  </si>
  <si>
    <t>-326.25</t>
  </si>
  <si>
    <t>-325.36</t>
  </si>
  <si>
    <t>75.41</t>
  </si>
  <si>
    <t>88.37</t>
  </si>
  <si>
    <t>92.72</t>
  </si>
  <si>
    <t>493.41</t>
  </si>
  <si>
    <t>744.08</t>
  </si>
  <si>
    <t>1,465.77</t>
  </si>
  <si>
    <t>1,353.39</t>
  </si>
  <si>
    <t>112.38</t>
  </si>
  <si>
    <t>1,089.19</t>
  </si>
  <si>
    <t>1,078.78</t>
  </si>
  <si>
    <t>187.13</t>
  </si>
  <si>
    <t>485.37</t>
  </si>
  <si>
    <t>197.05</t>
  </si>
  <si>
    <t>1.96</t>
  </si>
  <si>
    <t>850.93</t>
  </si>
  <si>
    <t>45.72</t>
  </si>
  <si>
    <t>-7.47</t>
  </si>
  <si>
    <t>283.92</t>
  </si>
  <si>
    <t>516.95</t>
  </si>
  <si>
    <t>516.86</t>
  </si>
  <si>
    <t>23.99</t>
  </si>
  <si>
    <t>64.05</t>
  </si>
  <si>
    <t>3.43</t>
  </si>
  <si>
    <t>60.66</t>
  </si>
  <si>
    <t>70.66</t>
  </si>
  <si>
    <t>50.08</t>
  </si>
  <si>
    <t>435.56</t>
  </si>
  <si>
    <t>1,601.95</t>
  </si>
  <si>
    <t>498.49</t>
  </si>
  <si>
    <t>1,103.46</t>
  </si>
  <si>
    <t>463.28</t>
  </si>
  <si>
    <t>165.30</t>
  </si>
  <si>
    <t>289.64</t>
  </si>
  <si>
    <t>95.88</t>
  </si>
  <si>
    <t>870.19</t>
  </si>
  <si>
    <t>1.79</t>
  </si>
  <si>
    <t>47.18</t>
  </si>
  <si>
    <t>-208.08</t>
  </si>
  <si>
    <t>-372.71</t>
  </si>
  <si>
    <t>129.88</t>
  </si>
  <si>
    <t>-0.17</t>
  </si>
  <si>
    <t>681.57</t>
  </si>
  <si>
    <t>681.39</t>
  </si>
  <si>
    <t>-18.85</t>
  </si>
  <si>
    <t>10.50</t>
  </si>
  <si>
    <t>4.32</t>
  </si>
  <si>
    <t>49.41</t>
  </si>
  <si>
    <t>115.01</t>
  </si>
  <si>
    <t>63.46</t>
  </si>
  <si>
    <t>131.95</t>
  </si>
  <si>
    <t>634.67</t>
  </si>
  <si>
    <t>1,472.31</t>
  </si>
  <si>
    <t>388.60</t>
  </si>
  <si>
    <t>1,083.71</t>
  </si>
  <si>
    <t>745.69</t>
  </si>
  <si>
    <t>182.94</t>
  </si>
  <si>
    <t>180.61</t>
  </si>
  <si>
    <t>85.15</t>
  </si>
  <si>
    <t>670.14</t>
  </si>
  <si>
    <t>159.86</t>
  </si>
  <si>
    <t>-73.06</t>
  </si>
  <si>
    <t>-4.04</t>
  </si>
  <si>
    <t>100.95</t>
  </si>
  <si>
    <t>3,250.000000</t>
  </si>
  <si>
    <t>876.13</t>
  </si>
  <si>
    <t>91.24</t>
  </si>
  <si>
    <t>247.55</t>
  </si>
  <si>
    <t>3.98</t>
  </si>
  <si>
    <t>49.08</t>
  </si>
  <si>
    <t>166.47</t>
  </si>
  <si>
    <t>69.04</t>
  </si>
  <si>
    <t>242.99</t>
  </si>
  <si>
    <t>722.57</t>
  </si>
  <si>
    <t>1,459.31</t>
  </si>
  <si>
    <t>162.72</t>
  </si>
  <si>
    <t>1,296.59</t>
  </si>
  <si>
    <t>891.31</t>
  </si>
  <si>
    <t>126.89</t>
  </si>
  <si>
    <t>69.44</t>
  </si>
  <si>
    <t>528.55</t>
  </si>
  <si>
    <t>162.98</t>
  </si>
  <si>
    <t>139.47</t>
  </si>
  <si>
    <t>-1.02</t>
  </si>
  <si>
    <t>132.43</t>
  </si>
  <si>
    <t>1,079.000000</t>
  </si>
  <si>
    <t>549.61</t>
  </si>
  <si>
    <t>107.56</t>
  </si>
  <si>
    <t>86.94</t>
  </si>
  <si>
    <t>3.69</t>
  </si>
  <si>
    <t>57.77</t>
  </si>
  <si>
    <t>439.72</t>
  </si>
  <si>
    <t>62.94</t>
  </si>
  <si>
    <t>125.29</t>
  </si>
  <si>
    <t>1,427.39</t>
  </si>
  <si>
    <t>152.68</t>
  </si>
  <si>
    <t>1,274.71</t>
  </si>
  <si>
    <t>952.34</t>
  </si>
  <si>
    <t>137.12</t>
  </si>
  <si>
    <t>76.80</t>
  </si>
  <si>
    <t>399.76</t>
  </si>
  <si>
    <t>34.14</t>
  </si>
  <si>
    <t>172.99</t>
  </si>
  <si>
    <t>-120.55</t>
  </si>
  <si>
    <t>-41.99</t>
  </si>
  <si>
    <t>102.66</t>
  </si>
  <si>
    <t>1,092.000000</t>
  </si>
  <si>
    <t>569.81</t>
  </si>
  <si>
    <t>106.90</t>
  </si>
  <si>
    <t>92.91</t>
  </si>
  <si>
    <t>3.71</t>
  </si>
  <si>
    <t>69.02</t>
  </si>
  <si>
    <t>49.09</t>
  </si>
  <si>
    <t>122.92</t>
  </si>
  <si>
    <t>47.62</t>
  </si>
  <si>
    <t>422.04</t>
  </si>
  <si>
    <t>1,391.23</t>
  </si>
  <si>
    <t>109.22</t>
  </si>
  <si>
    <t>1,282.00</t>
  </si>
  <si>
    <t>1,019.90</t>
  </si>
  <si>
    <t>65.10</t>
  </si>
  <si>
    <t>80.92</t>
  </si>
  <si>
    <t>297.01</t>
  </si>
  <si>
    <t>33.66</t>
  </si>
  <si>
    <t>92.97</t>
  </si>
  <si>
    <t>-61.76</t>
  </si>
  <si>
    <t>-1.43</t>
  </si>
  <si>
    <t>65.39</t>
  </si>
  <si>
    <t>2,471.67</t>
  </si>
  <si>
    <t>2,468.75</t>
  </si>
  <si>
    <t>13.71</t>
  </si>
  <si>
    <t>8.56</t>
  </si>
  <si>
    <t>9.79</t>
  </si>
  <si>
    <t>24.45</t>
  </si>
  <si>
    <t>2,339.80</t>
  </si>
  <si>
    <t>0.60</t>
  </si>
  <si>
    <t>2,454.57</t>
  </si>
  <si>
    <t>917.04</t>
  </si>
  <si>
    <t>561.86</t>
  </si>
  <si>
    <t>355.18</t>
  </si>
  <si>
    <t>607.77</t>
  </si>
  <si>
    <t>556.04</t>
  </si>
  <si>
    <t>5.82</t>
  </si>
  <si>
    <t>1.74</t>
  </si>
  <si>
    <t>0.13</t>
  </si>
  <si>
    <t>41.90</t>
  </si>
  <si>
    <t>-11.88</t>
  </si>
  <si>
    <t>196.79</t>
  </si>
  <si>
    <t>63.40</t>
  </si>
  <si>
    <t>3,598.000000</t>
  </si>
  <si>
    <t>4,904.14</t>
  </si>
  <si>
    <t>4,895.88</t>
  </si>
  <si>
    <t>118.30</t>
  </si>
  <si>
    <t>89.20</t>
  </si>
  <si>
    <t>53.25</t>
  </si>
  <si>
    <t>22.20</t>
  </si>
  <si>
    <t>4,693.08</t>
  </si>
  <si>
    <t>4,776.18</t>
  </si>
  <si>
    <t>1,370.68</t>
  </si>
  <si>
    <t>764.75</t>
  </si>
  <si>
    <t>605.92</t>
  </si>
  <si>
    <t>1,057.40</t>
  </si>
  <si>
    <t>758.55</t>
  </si>
  <si>
    <t>2.68</t>
  </si>
  <si>
    <t>-165.78</t>
  </si>
  <si>
    <t>-23.62</t>
  </si>
  <si>
    <t>1.41</t>
  </si>
  <si>
    <t>281.60</t>
  </si>
  <si>
    <t>98.41</t>
  </si>
  <si>
    <t>2,109.84</t>
  </si>
  <si>
    <t>2,101.67</t>
  </si>
  <si>
    <t>39.28</t>
  </si>
  <si>
    <t>26.00</t>
  </si>
  <si>
    <t>28.21</t>
  </si>
  <si>
    <t>25.96</t>
  </si>
  <si>
    <t>1,954.32</t>
  </si>
  <si>
    <t>2,047.46</t>
  </si>
  <si>
    <t>827.61</t>
  </si>
  <si>
    <t>225.87</t>
  </si>
  <si>
    <t>601.75</t>
  </si>
  <si>
    <t>460.09</t>
  </si>
  <si>
    <t>219.49</t>
  </si>
  <si>
    <t>6.38</t>
  </si>
  <si>
    <t>5.85</t>
  </si>
  <si>
    <t>291.18</t>
  </si>
  <si>
    <t>-157.46</t>
  </si>
  <si>
    <t>3.95</t>
  </si>
  <si>
    <t>167.36</t>
  </si>
  <si>
    <t>-56.96</t>
  </si>
  <si>
    <t>1,136.36</t>
  </si>
  <si>
    <t>1,122.95</t>
  </si>
  <si>
    <t>18.30</t>
  </si>
  <si>
    <t>8.79</t>
  </si>
  <si>
    <t>26.16</t>
  </si>
  <si>
    <t>21.89</t>
  </si>
  <si>
    <t>1,016.31</t>
  </si>
  <si>
    <t>1,091.37</t>
  </si>
  <si>
    <t>860.03</t>
  </si>
  <si>
    <t>281.28</t>
  </si>
  <si>
    <t>578.75</t>
  </si>
  <si>
    <t>469.42</t>
  </si>
  <si>
    <t>275.99</t>
  </si>
  <si>
    <t>5.29</t>
  </si>
  <si>
    <t>0.33</t>
  </si>
  <si>
    <t>-9.19</t>
  </si>
  <si>
    <t>1.65</t>
  </si>
  <si>
    <t>151.23</t>
  </si>
  <si>
    <t>-46.57</t>
  </si>
  <si>
    <t>1,889.000000</t>
  </si>
  <si>
    <t>1,798.99</t>
  </si>
  <si>
    <t>1,773.06</t>
  </si>
  <si>
    <t>100.31</t>
  </si>
  <si>
    <t>73.01</t>
  </si>
  <si>
    <t>40.81</t>
  </si>
  <si>
    <t>22.22</t>
  </si>
  <si>
    <t>1,594.09</t>
  </si>
  <si>
    <t>1,594.75</t>
  </si>
  <si>
    <t>950.68</t>
  </si>
  <si>
    <t>329.54</t>
  </si>
  <si>
    <t>621.14</t>
  </si>
  <si>
    <t>582.91</t>
  </si>
  <si>
    <t>324.90</t>
  </si>
  <si>
    <t>2.43</t>
  </si>
  <si>
    <t>0.28</t>
  </si>
  <si>
    <t>162.81</t>
  </si>
  <si>
    <t>-73.29</t>
  </si>
  <si>
    <t>-1.34</t>
  </si>
  <si>
    <t>223.78</t>
  </si>
  <si>
    <t>2,532.000000</t>
  </si>
  <si>
    <t>1,202.21</t>
  </si>
  <si>
    <t>28.70</t>
  </si>
  <si>
    <t>23.19</t>
  </si>
  <si>
    <t>20.35</t>
  </si>
  <si>
    <t>908.48</t>
  </si>
  <si>
    <t>1,183.19</t>
  </si>
  <si>
    <t>402.61</t>
  </si>
  <si>
    <t>181.67</t>
  </si>
  <si>
    <t>220.94</t>
  </si>
  <si>
    <t>291.49</t>
  </si>
  <si>
    <t>139.37</t>
  </si>
  <si>
    <t>21.70</t>
  </si>
  <si>
    <t>26.36</t>
  </si>
  <si>
    <t>3.93</t>
  </si>
  <si>
    <t>1.94</t>
  </si>
  <si>
    <t>2.99</t>
  </si>
  <si>
    <t>66.44</t>
  </si>
  <si>
    <t>33.59</t>
  </si>
  <si>
    <t>1,464.04</t>
  </si>
  <si>
    <t>46.86</t>
  </si>
  <si>
    <t>37.74</t>
  </si>
  <si>
    <t>1,293.08</t>
  </si>
  <si>
    <t>1,426.20</t>
  </si>
  <si>
    <t>405.91</t>
  </si>
  <si>
    <t>186.96</t>
  </si>
  <si>
    <t>218.95</t>
  </si>
  <si>
    <t>317.47</t>
  </si>
  <si>
    <t>144.60</t>
  </si>
  <si>
    <t>19.35</t>
  </si>
  <si>
    <t>26.31</t>
  </si>
  <si>
    <t>1.16</t>
  </si>
  <si>
    <t>0.20</t>
  </si>
  <si>
    <t>55.56</t>
  </si>
  <si>
    <t>22.71</t>
  </si>
  <si>
    <t>4,620.000000</t>
  </si>
  <si>
    <t>1,096.73</t>
  </si>
  <si>
    <t>53.87</t>
  </si>
  <si>
    <t>43.91</t>
  </si>
  <si>
    <t>3.22</t>
  </si>
  <si>
    <t>25.47</t>
  </si>
  <si>
    <t>924.19</t>
  </si>
  <si>
    <t>1,062.68</t>
  </si>
  <si>
    <t>360.83</t>
  </si>
  <si>
    <t>112.96</t>
  </si>
  <si>
    <t>247.87</t>
  </si>
  <si>
    <t>273.65</t>
  </si>
  <si>
    <t>70.61</t>
  </si>
  <si>
    <t>18.46</t>
  </si>
  <si>
    <t>26.27</t>
  </si>
  <si>
    <t>43.63</t>
  </si>
  <si>
    <t>0.59</t>
  </si>
  <si>
    <t>1.84</t>
  </si>
  <si>
    <t>85.98</t>
  </si>
  <si>
    <t>-20.37</t>
  </si>
  <si>
    <t>2,586.000000</t>
  </si>
  <si>
    <t>729.15</t>
  </si>
  <si>
    <t>43.82</t>
  </si>
  <si>
    <t>37.31</t>
  </si>
  <si>
    <t>590.58</t>
  </si>
  <si>
    <t>712.43</t>
  </si>
  <si>
    <t>390.50</t>
  </si>
  <si>
    <t>120.81</t>
  </si>
  <si>
    <t>269.69</t>
  </si>
  <si>
    <t>294.76</t>
  </si>
  <si>
    <t>78.45</t>
  </si>
  <si>
    <t>16.65</t>
  </si>
  <si>
    <t>26.34</t>
  </si>
  <si>
    <t>-3.95</t>
  </si>
  <si>
    <t>-0.23</t>
  </si>
  <si>
    <t>0.41</t>
  </si>
  <si>
    <t>67.19</t>
  </si>
  <si>
    <t>-39.52</t>
  </si>
  <si>
    <t>3,149.000000</t>
  </si>
  <si>
    <t>1,152.74</t>
  </si>
  <si>
    <t>59.23</t>
  </si>
  <si>
    <t>45.43</t>
  </si>
  <si>
    <t>30.83</t>
  </si>
  <si>
    <t>951.25</t>
  </si>
  <si>
    <t>1,103.17</t>
  </si>
  <si>
    <t>456.37</t>
  </si>
  <si>
    <t>158.96</t>
  </si>
  <si>
    <t>297.41</t>
  </si>
  <si>
    <t>359.50</t>
  </si>
  <si>
    <t>117.51</t>
  </si>
  <si>
    <t>41.45</t>
  </si>
  <si>
    <t>17.21</t>
  </si>
  <si>
    <t>26.39</t>
  </si>
  <si>
    <t>22.85</t>
  </si>
  <si>
    <t>2.93</t>
  </si>
  <si>
    <t>85.19</t>
  </si>
  <si>
    <t>58.09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</si>
</sst>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"/>
    <numFmt numFmtId="166" formatCode="0.0000"/>
    <numFmt numFmtId="167" formatCode="d\.m"/>
    <numFmt numFmtId="168" formatCode="dd\.mm"/>
  </numFmts>
  <fonts count="5" x14ac:knownFonts="1">
    <font>
      <sz val="10"/>
      <color rgb="FF000000"/>
      <name val="Arial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303030"/>
      <name val="Times New Roman"/>
      <family val="1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1" fontId="2" fillId="0" borderId="0" xfId="0" applyNumberFormat="1" applyFont="1" applyFill="1" applyBorder="1" applyAlignment="1">
      <alignment horizontal="center" vertical="center" wrapText="1"/>
    </xf>
    <xf numFmtId="1" fontId="1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 applyAlignment="1">
      <alignment horizontal="center" vertical="center"/>
    </xf>
    <xf numFmtId="2" fontId="2" fillId="0" borderId="0" xfId="0" applyNumberFormat="1" applyFont="1" applyFill="1" applyBorder="1" applyAlignment="1">
      <alignment horizontal="center" vertical="center"/>
    </xf>
    <xf numFmtId="1" fontId="3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3" fontId="1" fillId="0" borderId="0" xfId="0" applyNumberFormat="1" applyFont="1" applyFill="1" applyBorder="1" applyAlignment="1">
      <alignment horizontal="center" vertical="center"/>
    </xf>
    <xf numFmtId="2" fontId="1" fillId="0" borderId="0" xfId="0" applyNumberFormat="1" applyFont="1" applyFill="1" applyBorder="1" applyAlignment="1">
      <alignment horizontal="center" vertical="center" wrapText="1"/>
    </xf>
    <xf numFmtId="164" fontId="1" fillId="0" borderId="0" xfId="0" applyNumberFormat="1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2" fontId="2" fillId="0" borderId="0" xfId="0" applyNumberFormat="1" applyFont="1" applyFill="1" applyBorder="1" applyAlignment="1">
      <alignment horizontal="center" vertical="center" wrapText="1"/>
    </xf>
    <xf numFmtId="164" fontId="2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2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65" fontId="1" fillId="0" borderId="0" xfId="0" applyNumberFormat="1" applyFont="1" applyFill="1" applyBorder="1" applyAlignment="1">
      <alignment horizontal="center" vertical="center" wrapText="1"/>
    </xf>
    <xf numFmtId="166" fontId="1" fillId="0" borderId="0" xfId="0" applyNumberFormat="1" applyFont="1" applyFill="1" applyBorder="1" applyAlignment="1">
      <alignment horizontal="center" vertical="center" wrapText="1"/>
    </xf>
    <xf numFmtId="164" fontId="3" fillId="0" borderId="0" xfId="0" applyNumberFormat="1" applyFont="1" applyFill="1" applyBorder="1" applyAlignment="1">
      <alignment horizontal="center" vertical="center"/>
    </xf>
    <xf numFmtId="2" fontId="3" fillId="0" borderId="0" xfId="0" applyNumberFormat="1" applyFont="1" applyFill="1" applyBorder="1" applyAlignment="1">
      <alignment horizontal="center" vertical="center"/>
    </xf>
    <xf numFmtId="164" fontId="1" fillId="0" borderId="0" xfId="0" applyNumberFormat="1" applyFont="1" applyFill="1" applyBorder="1" applyAlignment="1">
      <alignment horizontal="center" vertical="center"/>
    </xf>
    <xf numFmtId="1" fontId="1" fillId="0" borderId="0" xfId="0" applyNumberFormat="1" applyFont="1" applyFill="1" applyBorder="1" applyAlignment="1">
      <alignment horizontal="center" vertical="center"/>
    </xf>
    <xf numFmtId="167" fontId="3" fillId="0" borderId="0" xfId="0" applyNumberFormat="1" applyFont="1" applyFill="1" applyBorder="1" applyAlignment="1">
      <alignment horizontal="center" vertical="center"/>
    </xf>
    <xf numFmtId="168" fontId="3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tabSelected="1" topLeftCell="J1" workbookViewId="0">
      <selection activeCell="J83" sqref="J83"/>
    </sheetView>
  </sheetViews>
  <sheetFormatPr defaultColWidth="12.59765625" defaultRowHeight="15.75" customHeight="1" x14ac:dyDescent="0.35"/>
  <cols>
    <col min="1" max="1" width="6.59765625" style="1" customWidth="1"/>
    <col min="2" max="2" width="8.46484375" style="1" customWidth="1"/>
    <col min="3" max="3" width="26" style="1" customWidth="1"/>
    <col min="4" max="4" width="14.73046875" style="1" customWidth="1"/>
    <col min="5" max="5" width="21" style="1" customWidth="1"/>
    <col min="6" max="6" width="20.265625" style="1" customWidth="1"/>
    <col min="7" max="7" width="21.1328125" style="1" customWidth="1"/>
    <col min="8" max="8" width="20.46484375" style="1" customWidth="1"/>
    <col min="9" max="9" width="32.1328125" style="1" customWidth="1"/>
    <col min="10" max="10" width="18.86328125" style="1" customWidth="1"/>
    <col min="11" max="11" width="14.265625" style="1" customWidth="1"/>
    <col min="12" max="12" width="17.1328125" style="1" customWidth="1"/>
    <col min="13" max="13" width="15.73046875" style="1" customWidth="1"/>
    <col min="14" max="14" width="19.3984375" style="1" customWidth="1"/>
    <col min="15" max="15" width="15.46484375" style="1" customWidth="1"/>
    <col min="16" max="16" width="14.73046875" style="1" customWidth="1"/>
    <col min="17" max="17" width="35.265625" style="1" customWidth="1"/>
    <col min="18" max="18" width="29.86328125" style="1" customWidth="1"/>
    <col min="19" max="20" width="28.86328125" style="1" customWidth="1"/>
    <col min="21" max="21" width="34.86328125" style="1" customWidth="1"/>
    <col min="22" max="22" width="26.265625" style="1" customWidth="1"/>
    <col min="23" max="23" width="17.86328125" style="1" customWidth="1"/>
    <col min="24" max="24" width="15" style="1" customWidth="1"/>
    <col min="25" max="25" width="16.86328125" style="1" customWidth="1"/>
    <col min="26" max="26" width="23.265625" style="1" customWidth="1"/>
    <col min="27" max="28" width="16.265625" style="1" customWidth="1"/>
    <col min="29" max="29" width="14.46484375" style="1" customWidth="1"/>
    <col min="30" max="30" width="15.46484375" style="1" customWidth="1"/>
    <col min="31" max="31" width="30.73046875" style="1" customWidth="1"/>
    <col min="32" max="32" width="26.265625" style="1" customWidth="1"/>
    <col min="33" max="33" width="29.73046875" style="1" customWidth="1"/>
    <col min="34" max="34" width="31.1328125" style="1" customWidth="1"/>
    <col min="35" max="35" width="18" style="1" customWidth="1"/>
    <col min="36" max="36" width="22.73046875" style="1" customWidth="1"/>
    <col min="37" max="38" width="17.46484375" style="1" customWidth="1"/>
    <col min="39" max="39" width="18.265625" style="1" customWidth="1"/>
    <col min="40" max="40" width="12.265625" style="1" customWidth="1"/>
    <col min="41" max="41" width="19.46484375" style="1" customWidth="1"/>
    <col min="42" max="16384" width="12.59765625" style="1"/>
  </cols>
  <sheetData>
    <row r="1" spans="1:48" ht="15.4" x14ac:dyDescent="0.35">
      <c r="A1" s="11" t="s">
        <v>0</v>
      </c>
      <c r="B1" s="11" t="s">
        <v>21</v>
      </c>
      <c r="C1" s="13" t="s">
        <v>22</v>
      </c>
      <c r="D1" s="13" t="s">
        <v>23</v>
      </c>
      <c r="E1" s="13" t="s">
        <v>24</v>
      </c>
      <c r="F1" s="13" t="s">
        <v>25</v>
      </c>
      <c r="G1" s="2" t="s">
        <v>26</v>
      </c>
      <c r="H1" s="12" t="s">
        <v>27</v>
      </c>
      <c r="I1" s="12" t="s">
        <v>28</v>
      </c>
      <c r="J1" s="12" t="s">
        <v>29</v>
      </c>
      <c r="K1" s="13" t="s">
        <v>30</v>
      </c>
      <c r="L1" s="12" t="s">
        <v>31</v>
      </c>
      <c r="M1" s="12" t="s">
        <v>32</v>
      </c>
      <c r="N1" s="12" t="s">
        <v>33</v>
      </c>
      <c r="O1" s="12" t="s">
        <v>34</v>
      </c>
      <c r="P1" s="12" t="s">
        <v>35</v>
      </c>
      <c r="Q1" s="12" t="s">
        <v>36</v>
      </c>
      <c r="R1" s="12" t="s">
        <v>37</v>
      </c>
      <c r="S1" s="12" t="s">
        <v>38</v>
      </c>
      <c r="T1" s="12" t="s">
        <v>39</v>
      </c>
      <c r="U1" s="12" t="s">
        <v>40</v>
      </c>
      <c r="V1" s="12" t="s">
        <v>41</v>
      </c>
      <c r="W1" s="12" t="s">
        <v>42</v>
      </c>
      <c r="X1" s="12" t="s">
        <v>43</v>
      </c>
      <c r="Y1" s="12" t="s">
        <v>44</v>
      </c>
      <c r="Z1" s="12" t="s">
        <v>45</v>
      </c>
      <c r="AA1" s="12" t="s">
        <v>46</v>
      </c>
      <c r="AB1" s="12" t="s">
        <v>47</v>
      </c>
      <c r="AC1" s="12" t="s">
        <v>48</v>
      </c>
      <c r="AD1" s="12" t="s">
        <v>49</v>
      </c>
      <c r="AE1" s="12" t="s">
        <v>50</v>
      </c>
      <c r="AF1" s="12" t="s">
        <v>51</v>
      </c>
      <c r="AG1" s="12" t="s">
        <v>52</v>
      </c>
      <c r="AH1" s="12" t="s">
        <v>53</v>
      </c>
      <c r="AI1" s="12" t="s">
        <v>54</v>
      </c>
      <c r="AJ1" s="12" t="s">
        <v>55</v>
      </c>
      <c r="AK1" s="12" t="s">
        <v>56</v>
      </c>
      <c r="AL1" s="2" t="s">
        <v>57</v>
      </c>
      <c r="AM1" s="2" t="s">
        <v>58</v>
      </c>
      <c r="AN1" s="13" t="s">
        <v>59</v>
      </c>
      <c r="AO1" s="2" t="s">
        <v>60</v>
      </c>
      <c r="AP1" s="2" t="s">
        <v>61</v>
      </c>
      <c r="AQ1" s="2"/>
      <c r="AR1" s="2"/>
      <c r="AS1" s="2"/>
      <c r="AT1" s="2"/>
      <c r="AU1" s="2"/>
      <c r="AV1" s="2"/>
    </row>
    <row r="2" spans="1:48" ht="15.4" x14ac:dyDescent="0.35">
      <c r="A2" s="12" t="s">
        <v>14</v>
      </c>
      <c r="B2" s="2">
        <v>2020</v>
      </c>
      <c r="C2" s="13">
        <v>0</v>
      </c>
      <c r="D2" s="13">
        <v>0</v>
      </c>
      <c r="E2" s="13">
        <v>0.92</v>
      </c>
      <c r="F2" s="13">
        <v>0.45</v>
      </c>
      <c r="G2" s="2">
        <v>15420782</v>
      </c>
      <c r="H2" s="12">
        <v>60568</v>
      </c>
      <c r="I2" s="9">
        <f t="shared" ref="I2:I8" si="0">G2*H2</f>
        <v>934005924176</v>
      </c>
      <c r="J2" s="12">
        <v>0</v>
      </c>
      <c r="K2" s="13">
        <v>5952</v>
      </c>
      <c r="L2" s="12">
        <v>1228.7629963669999</v>
      </c>
      <c r="M2" s="12">
        <v>1218.5563281259999</v>
      </c>
      <c r="N2" s="12">
        <v>28.366706524000001</v>
      </c>
      <c r="O2" s="12">
        <v>96.616397824000003</v>
      </c>
      <c r="P2" s="12">
        <v>-237.32646099300001</v>
      </c>
      <c r="Q2" s="12">
        <v>-80.789467262000002</v>
      </c>
      <c r="R2" s="9">
        <f>889.301451589+63.567168621-58.101632306</f>
        <v>894.76698790399996</v>
      </c>
      <c r="S2" s="9">
        <v>3.63264269</v>
      </c>
      <c r="T2" s="12">
        <v>261.58452904000001</v>
      </c>
      <c r="U2" s="12">
        <f>W2-V2-162.940537685</f>
        <v>347.70837103300005</v>
      </c>
      <c r="V2" s="12">
        <v>722.594963409</v>
      </c>
      <c r="W2" s="12">
        <v>1233.243872127</v>
      </c>
      <c r="X2" s="12">
        <v>1543.102176053</v>
      </c>
      <c r="Y2" s="12">
        <v>447.38011950800001</v>
      </c>
      <c r="Z2" s="12">
        <v>1095.722056545</v>
      </c>
      <c r="AA2" s="12">
        <v>717.59045811199996</v>
      </c>
      <c r="AB2" s="12">
        <v>430.84458158199999</v>
      </c>
      <c r="AC2" s="12">
        <v>16.535537926</v>
      </c>
      <c r="AD2" s="12">
        <v>126.21667663300001</v>
      </c>
      <c r="AE2" s="12">
        <v>471.66971972599998</v>
      </c>
      <c r="AF2" s="12">
        <v>3.0494773309999998</v>
      </c>
      <c r="AG2" s="12">
        <v>-424.344589945</v>
      </c>
      <c r="AH2" s="12">
        <v>-48.689201953000001</v>
      </c>
      <c r="AI2" s="12">
        <f>1.940909091-101.8005075</f>
        <v>-99.859598409</v>
      </c>
      <c r="AJ2" s="12">
        <v>112.81173710100001</v>
      </c>
      <c r="AK2" s="12" t="s">
        <v>62</v>
      </c>
      <c r="AL2" s="2">
        <v>1</v>
      </c>
      <c r="AM2" s="2">
        <v>1</v>
      </c>
      <c r="AN2" s="13">
        <f>(L2-1513.816363359)/1513.816363359</f>
        <v>-0.18830115322541269</v>
      </c>
      <c r="AO2" s="2">
        <v>853</v>
      </c>
      <c r="AP2" s="2">
        <v>22</v>
      </c>
      <c r="AQ2" s="2"/>
      <c r="AR2" s="2"/>
      <c r="AS2" s="2"/>
      <c r="AT2" s="2"/>
      <c r="AU2" s="2"/>
      <c r="AV2" s="2"/>
    </row>
    <row r="3" spans="1:48" ht="15.4" x14ac:dyDescent="0.35">
      <c r="A3" s="12" t="s">
        <v>14</v>
      </c>
      <c r="B3" s="3">
        <v>2021</v>
      </c>
      <c r="C3" s="13">
        <f>(2000+3+7+447)/18752687</f>
        <v>1.3102122378515676E-4</v>
      </c>
      <c r="D3" s="10">
        <v>0</v>
      </c>
      <c r="E3" s="10">
        <v>0.72</v>
      </c>
      <c r="F3" s="10">
        <v>0.01</v>
      </c>
      <c r="G3" s="3">
        <v>18752687</v>
      </c>
      <c r="H3" s="9">
        <v>56940</v>
      </c>
      <c r="I3" s="9">
        <f t="shared" si="0"/>
        <v>1067777997780</v>
      </c>
      <c r="J3" s="9">
        <v>-55514815199</v>
      </c>
      <c r="K3" s="10">
        <v>1380</v>
      </c>
      <c r="L3" s="9">
        <v>1102.5292877490001</v>
      </c>
      <c r="M3" s="9">
        <v>1091.174440134</v>
      </c>
      <c r="N3" s="9">
        <v>23.912383264999999</v>
      </c>
      <c r="O3" s="9">
        <v>22.400282621999999</v>
      </c>
      <c r="P3" s="9">
        <v>-237.23263355500001</v>
      </c>
      <c r="Q3" s="9">
        <v>-69.514930066000005</v>
      </c>
      <c r="R3" s="9">
        <f>770.006470567+27.390530391-63.567168621</f>
        <v>733.82983233699997</v>
      </c>
      <c r="S3" s="9">
        <v>6.8418931860000001</v>
      </c>
      <c r="T3" s="9">
        <v>260.72903920599998</v>
      </c>
      <c r="U3" s="9">
        <f>W3-V3-105.733663394</f>
        <v>347.60550920199989</v>
      </c>
      <c r="V3" s="9">
        <v>620.788377771</v>
      </c>
      <c r="W3" s="9">
        <v>1074.1275503669999</v>
      </c>
      <c r="X3" s="9">
        <v>1639.538136486</v>
      </c>
      <c r="Y3" s="9">
        <v>658.07387014899996</v>
      </c>
      <c r="Z3" s="9">
        <v>981.46426633700003</v>
      </c>
      <c r="AA3" s="9">
        <v>578.23085176300003</v>
      </c>
      <c r="AB3" s="9">
        <v>520.24016449099997</v>
      </c>
      <c r="AC3" s="9">
        <v>137.83370565800001</v>
      </c>
      <c r="AD3" s="9">
        <v>85.603515583999993</v>
      </c>
      <c r="AE3" s="9">
        <v>604.26189333699995</v>
      </c>
      <c r="AF3" s="9">
        <v>2.7699310110000002</v>
      </c>
      <c r="AG3" s="9">
        <v>505.03478201000001</v>
      </c>
      <c r="AH3" s="9">
        <v>-176.488423915</v>
      </c>
      <c r="AI3" s="9">
        <f>188.165143538-0.325870631</f>
        <v>187.83927290700001</v>
      </c>
      <c r="AJ3" s="9">
        <v>202.81692477600001</v>
      </c>
      <c r="AK3" s="9" t="s">
        <v>62</v>
      </c>
      <c r="AL3" s="3">
        <v>1</v>
      </c>
      <c r="AM3" s="3">
        <v>1</v>
      </c>
      <c r="AN3" s="10">
        <f t="shared" ref="AN3:AN6" si="1">(L3-L2)/L2</f>
        <v>-0.10273234870453167</v>
      </c>
      <c r="AO3" s="3">
        <v>785</v>
      </c>
      <c r="AP3" s="3">
        <v>23</v>
      </c>
      <c r="AQ3" s="3"/>
      <c r="AR3" s="3"/>
      <c r="AS3" s="3"/>
      <c r="AT3" s="3"/>
      <c r="AU3" s="3"/>
      <c r="AV3" s="3"/>
    </row>
    <row r="4" spans="1:48" ht="15.4" x14ac:dyDescent="0.35">
      <c r="A4" s="12" t="s">
        <v>14</v>
      </c>
      <c r="B4" s="2">
        <v>2022</v>
      </c>
      <c r="C4" s="13">
        <f t="shared" ref="C4:C6" si="2">(2000+47+166)/18752687</f>
        <v>1.1800975508203171E-4</v>
      </c>
      <c r="D4" s="10">
        <v>0</v>
      </c>
      <c r="E4" s="10">
        <v>0.98309999999999997</v>
      </c>
      <c r="F4" s="10">
        <v>7.4000000000000003E-3</v>
      </c>
      <c r="G4" s="3">
        <v>18752687</v>
      </c>
      <c r="H4" s="9">
        <v>49241</v>
      </c>
      <c r="I4" s="9">
        <f t="shared" si="0"/>
        <v>923401060567</v>
      </c>
      <c r="J4" s="9">
        <v>-18752687000</v>
      </c>
      <c r="K4" s="10">
        <v>9797</v>
      </c>
      <c r="L4" s="9">
        <v>1618.7764839619999</v>
      </c>
      <c r="M4" s="9">
        <v>1612.663159316</v>
      </c>
      <c r="N4" s="9">
        <v>73.443876144000001</v>
      </c>
      <c r="O4" s="9">
        <v>192.91669500699999</v>
      </c>
      <c r="P4" s="9">
        <v>-324.10990776099999</v>
      </c>
      <c r="Q4" s="9">
        <v>-102.15932776299999</v>
      </c>
      <c r="R4" s="9">
        <f>1135.991686092+54.976930089-27.390530391</f>
        <v>1163.5780857899999</v>
      </c>
      <c r="S4" s="9">
        <v>2.3065518819999999</v>
      </c>
      <c r="T4" s="9">
        <v>273.42671308600001</v>
      </c>
      <c r="U4" s="9">
        <f>W4-V4-152.146848204</f>
        <v>400.43740411700014</v>
      </c>
      <c r="V4" s="9">
        <v>1032.0948013909999</v>
      </c>
      <c r="W4" s="9">
        <v>1584.679053712</v>
      </c>
      <c r="X4" s="9">
        <v>1850.3777726139999</v>
      </c>
      <c r="Y4" s="9">
        <v>487.05629078099997</v>
      </c>
      <c r="Z4" s="9">
        <v>1363.321481833</v>
      </c>
      <c r="AA4" s="9">
        <v>694.73839688700002</v>
      </c>
      <c r="AB4" s="9">
        <v>472.46624044800001</v>
      </c>
      <c r="AC4" s="9">
        <v>14.590050333000001</v>
      </c>
      <c r="AD4" s="9">
        <v>112.52505024</v>
      </c>
      <c r="AE4" s="9">
        <v>655.599634692</v>
      </c>
      <c r="AF4" s="9">
        <v>1.8083332459999999</v>
      </c>
      <c r="AG4" s="9">
        <v>-81.005784954000006</v>
      </c>
      <c r="AH4" s="9">
        <v>66.565394440999995</v>
      </c>
      <c r="AI4" s="9">
        <f>31.322573753-69.3</f>
        <v>-37.977426246999997</v>
      </c>
      <c r="AJ4" s="9">
        <v>152.01266484300001</v>
      </c>
      <c r="AK4" s="9" t="s">
        <v>62</v>
      </c>
      <c r="AL4" s="3">
        <v>1</v>
      </c>
      <c r="AM4" s="3">
        <v>1</v>
      </c>
      <c r="AN4" s="10">
        <f t="shared" si="1"/>
        <v>0.46823898643727258</v>
      </c>
      <c r="AO4" s="3">
        <v>1003</v>
      </c>
      <c r="AP4" s="3">
        <v>24</v>
      </c>
      <c r="AQ4" s="3"/>
      <c r="AR4" s="3"/>
      <c r="AS4" s="3"/>
      <c r="AT4" s="3"/>
      <c r="AU4" s="3"/>
      <c r="AV4" s="3"/>
    </row>
    <row r="5" spans="1:48" ht="15.4" x14ac:dyDescent="0.35">
      <c r="A5" s="12" t="s">
        <v>14</v>
      </c>
      <c r="B5" s="3">
        <v>2023</v>
      </c>
      <c r="C5" s="13">
        <f t="shared" si="2"/>
        <v>1.1800975508203171E-4</v>
      </c>
      <c r="D5" s="10">
        <v>0</v>
      </c>
      <c r="E5" s="10">
        <v>0.98309999999999997</v>
      </c>
      <c r="F5" s="10">
        <v>7.4000000000000003E-3</v>
      </c>
      <c r="G5" s="3">
        <v>18752687</v>
      </c>
      <c r="H5" s="9">
        <v>47460</v>
      </c>
      <c r="I5" s="9">
        <f t="shared" si="0"/>
        <v>890002525020</v>
      </c>
      <c r="J5" s="9">
        <v>-37505605320</v>
      </c>
      <c r="K5" s="10">
        <v>4872</v>
      </c>
      <c r="L5" s="9">
        <v>1510.7152104859999</v>
      </c>
      <c r="M5" s="9">
        <v>1487.6899572360001</v>
      </c>
      <c r="N5" s="9">
        <v>104.643641182</v>
      </c>
      <c r="O5" s="9">
        <v>96.162359968999993</v>
      </c>
      <c r="P5" s="9">
        <v>-327.52812866199997</v>
      </c>
      <c r="Q5" s="9">
        <v>-90.641835193999995</v>
      </c>
      <c r="R5" s="9">
        <f>67.72893865-54.976930089+991.142240336</f>
        <v>1003.894248897</v>
      </c>
      <c r="S5" s="9">
        <v>2.3889080150000002</v>
      </c>
      <c r="T5" s="9">
        <v>313.48892062499999</v>
      </c>
      <c r="U5" s="9">
        <f>W5-V5-313.488920625</f>
        <v>267.50706879699999</v>
      </c>
      <c r="V5" s="9">
        <v>827.81040306900002</v>
      </c>
      <c r="W5" s="9">
        <v>1408.806392491</v>
      </c>
      <c r="X5" s="9">
        <v>2327.7907106950001</v>
      </c>
      <c r="Y5" s="9">
        <v>915.45830896300004</v>
      </c>
      <c r="Z5" s="9">
        <v>1412.3324017320001</v>
      </c>
      <c r="AA5" s="9">
        <v>1242.220450652</v>
      </c>
      <c r="AB5" s="9">
        <v>900.37087248600005</v>
      </c>
      <c r="AC5" s="9">
        <v>15.087436477000001</v>
      </c>
      <c r="AD5" s="9">
        <v>125.55151158699999</v>
      </c>
      <c r="AE5" s="9">
        <v>595.49665484499997</v>
      </c>
      <c r="AF5" s="9">
        <v>1.1861618389999999</v>
      </c>
      <c r="AG5" s="9">
        <v>86.865992680999994</v>
      </c>
      <c r="AH5" s="9">
        <v>-496.19557026799998</v>
      </c>
      <c r="AI5" s="9">
        <f>11.01045944-1.657405937</f>
        <v>9.3530535029999999</v>
      </c>
      <c r="AJ5" s="9">
        <v>183.11358793900001</v>
      </c>
      <c r="AK5" s="9" t="s">
        <v>62</v>
      </c>
      <c r="AL5" s="3">
        <v>1</v>
      </c>
      <c r="AM5" s="3">
        <v>1</v>
      </c>
      <c r="AN5" s="10">
        <f t="shared" si="1"/>
        <v>-6.6754906898274832E-2</v>
      </c>
      <c r="AO5" s="3">
        <v>1167</v>
      </c>
      <c r="AP5" s="3">
        <v>25</v>
      </c>
      <c r="AQ5" s="3"/>
      <c r="AR5" s="3"/>
      <c r="AS5" s="3"/>
      <c r="AT5" s="3"/>
      <c r="AU5" s="3"/>
      <c r="AV5" s="3"/>
    </row>
    <row r="6" spans="1:48" ht="15.4" x14ac:dyDescent="0.35">
      <c r="A6" s="12" t="s">
        <v>14</v>
      </c>
      <c r="B6" s="2">
        <v>2024</v>
      </c>
      <c r="C6" s="13">
        <f t="shared" si="2"/>
        <v>1.1800975508203171E-4</v>
      </c>
      <c r="D6" s="10">
        <v>0</v>
      </c>
      <c r="E6" s="10">
        <v>0.98699999999999999</v>
      </c>
      <c r="F6" s="10">
        <v>7.0000000000000001E-3</v>
      </c>
      <c r="G6" s="3">
        <v>18752687</v>
      </c>
      <c r="H6" s="9">
        <v>52418</v>
      </c>
      <c r="I6" s="9">
        <f t="shared" si="0"/>
        <v>982978347166</v>
      </c>
      <c r="J6" s="9">
        <v>-28129030500</v>
      </c>
      <c r="K6" s="10">
        <v>5885</v>
      </c>
      <c r="L6" s="9">
        <v>1862.3462123910001</v>
      </c>
      <c r="M6" s="9">
        <v>1778.299903762</v>
      </c>
      <c r="N6" s="9">
        <v>132.551131454</v>
      </c>
      <c r="O6" s="9">
        <v>116.176650919</v>
      </c>
      <c r="P6" s="9">
        <v>-427.94310261099997</v>
      </c>
      <c r="Q6" s="9">
        <v>-92.023043637000001</v>
      </c>
      <c r="R6" s="9">
        <f>14.006238488-15.006251035+1159.17395348</f>
        <v>1158.1739409329998</v>
      </c>
      <c r="S6" s="9">
        <v>2.5683907829999999</v>
      </c>
      <c r="T6" s="9">
        <v>373.01410261799998</v>
      </c>
      <c r="U6" s="9">
        <f>W6-V6-292.278642828</f>
        <v>462.70845182300013</v>
      </c>
      <c r="V6" s="9">
        <v>917.18144090099997</v>
      </c>
      <c r="W6" s="9">
        <v>1672.1685355520001</v>
      </c>
      <c r="X6" s="9">
        <v>2190.4760079990001</v>
      </c>
      <c r="Y6" s="9">
        <v>694.68753001300001</v>
      </c>
      <c r="Z6" s="9">
        <v>1495.7884779860001</v>
      </c>
      <c r="AA6" s="9">
        <v>1173.1019149460001</v>
      </c>
      <c r="AB6" s="9">
        <v>681.12190782100004</v>
      </c>
      <c r="AC6" s="9">
        <v>13.565622191999999</v>
      </c>
      <c r="AD6" s="9">
        <v>121.571870135</v>
      </c>
      <c r="AE6" s="9">
        <v>538.26991455300004</v>
      </c>
      <c r="AF6" s="9">
        <v>1.762345005</v>
      </c>
      <c r="AG6" s="9">
        <v>280.06005066099999</v>
      </c>
      <c r="AH6" s="9">
        <v>524.155453986</v>
      </c>
      <c r="AI6" s="9">
        <f>17.636242326-0.3496</f>
        <v>17.286642326000003</v>
      </c>
      <c r="AJ6" s="9">
        <v>673.00769609300005</v>
      </c>
      <c r="AK6" s="9" t="s">
        <v>62</v>
      </c>
      <c r="AL6" s="3">
        <v>1</v>
      </c>
      <c r="AM6" s="3">
        <v>1</v>
      </c>
      <c r="AN6" s="10">
        <f t="shared" si="1"/>
        <v>0.23275796752710248</v>
      </c>
      <c r="AO6" s="3">
        <v>1795</v>
      </c>
      <c r="AP6" s="3">
        <v>26</v>
      </c>
      <c r="AQ6" s="3"/>
      <c r="AR6" s="3"/>
      <c r="AS6" s="3"/>
      <c r="AT6" s="3"/>
      <c r="AU6" s="3"/>
      <c r="AV6" s="3"/>
    </row>
    <row r="7" spans="1:48" ht="15.4" x14ac:dyDescent="0.35">
      <c r="A7" s="9" t="s">
        <v>1</v>
      </c>
      <c r="B7" s="2">
        <v>2020</v>
      </c>
      <c r="C7" s="10">
        <f>(2493186+6040747+804454+150000+1000+180000+557054+250004+75000+15273+290900)/G7</f>
        <v>4.5460124353096792E-2</v>
      </c>
      <c r="D7" s="10">
        <v>8.4900000000000003E-2</v>
      </c>
      <c r="E7" s="10">
        <f>0.2274+0.2694</f>
        <v>0.49679999999999996</v>
      </c>
      <c r="F7" s="10">
        <f>0.1424+0.1667+0.0064</f>
        <v>0.3155</v>
      </c>
      <c r="G7" s="14">
        <v>238838282</v>
      </c>
      <c r="H7" s="9">
        <v>16585</v>
      </c>
      <c r="I7" s="15">
        <f t="shared" si="0"/>
        <v>3961132906970</v>
      </c>
      <c r="J7" s="9">
        <v>-414785419164</v>
      </c>
      <c r="K7" s="10">
        <v>1000</v>
      </c>
      <c r="L7" s="9">
        <v>5408.4057943859998</v>
      </c>
      <c r="M7" s="9">
        <v>5374.0916645200004</v>
      </c>
      <c r="N7" s="9">
        <v>605.684623934</v>
      </c>
      <c r="O7" s="9">
        <v>472.02363341099999</v>
      </c>
      <c r="P7" s="9">
        <v>157.032487871</v>
      </c>
      <c r="Q7" s="9">
        <v>532.99565293199998</v>
      </c>
      <c r="R7" s="9">
        <f>36.134936964-18.702364098+4229.385489945</f>
        <v>4246.8180628109994</v>
      </c>
      <c r="S7" s="9">
        <v>4516.6170182249998</v>
      </c>
      <c r="T7" s="9"/>
      <c r="U7" s="9"/>
      <c r="V7" s="9"/>
      <c r="W7" s="9"/>
      <c r="X7" s="9">
        <v>29547.034101498</v>
      </c>
      <c r="Y7" s="9">
        <v>21761.422303678999</v>
      </c>
      <c r="Z7" s="9">
        <v>7785.6117978189995</v>
      </c>
      <c r="AA7" s="9">
        <v>10957.164123556</v>
      </c>
      <c r="AB7" s="9">
        <v>8293.1056852080001</v>
      </c>
      <c r="AC7" s="9">
        <v>13468.316618471001</v>
      </c>
      <c r="AD7" s="9">
        <v>4685.5476384189997</v>
      </c>
      <c r="AE7" s="9">
        <v>2185.216948837</v>
      </c>
      <c r="AF7" s="9">
        <v>3230.2033047089999</v>
      </c>
      <c r="AG7" s="9">
        <v>-1393.919116559</v>
      </c>
      <c r="AH7" s="9">
        <v>-720.18972753900005</v>
      </c>
      <c r="AI7" s="9">
        <f>391.449242405-257.847207749</f>
        <v>133.602034656</v>
      </c>
      <c r="AJ7" s="9">
        <v>438.74750774400002</v>
      </c>
      <c r="AK7" s="9" t="s">
        <v>62</v>
      </c>
      <c r="AL7" s="3"/>
      <c r="AM7" s="3"/>
      <c r="AN7" s="10">
        <f>(L7-1848.725839113)/1848.725839113</f>
        <v>1.925477472084719</v>
      </c>
      <c r="AO7" s="3">
        <v>70</v>
      </c>
      <c r="AP7" s="3">
        <v>20</v>
      </c>
      <c r="AQ7" s="3"/>
      <c r="AR7" s="3"/>
      <c r="AS7" s="3"/>
      <c r="AT7" s="3"/>
      <c r="AU7" s="3"/>
      <c r="AV7" s="3"/>
    </row>
    <row r="8" spans="1:48" ht="15.4" x14ac:dyDescent="0.35">
      <c r="A8" s="9" t="s">
        <v>1</v>
      </c>
      <c r="B8" s="3">
        <v>2021</v>
      </c>
      <c r="C8" s="10">
        <f>(400186+6040747+804454+150000+4+54+14273)/G8</f>
        <v>3.1006260360371487E-2</v>
      </c>
      <c r="D8" s="10">
        <v>8.4900000000000003E-2</v>
      </c>
      <c r="E8" s="10">
        <f>32204936/283304771</f>
        <v>0.11367593947085346</v>
      </c>
      <c r="F8" s="10">
        <f>(27403548+2167285)/283304771</f>
        <v>0.10437816806127843</v>
      </c>
      <c r="G8" s="3">
        <v>238974901</v>
      </c>
      <c r="H8" s="9">
        <v>35960</v>
      </c>
      <c r="I8" s="15">
        <f t="shared" si="0"/>
        <v>8593537439960</v>
      </c>
      <c r="J8" s="9">
        <v>-16583485656</v>
      </c>
      <c r="K8" s="10">
        <v>-1392</v>
      </c>
      <c r="L8" s="9">
        <v>2908.6935629559998</v>
      </c>
      <c r="M8" s="9">
        <v>2860.0340484090002</v>
      </c>
      <c r="N8" s="9">
        <v>-74.491318984000003</v>
      </c>
      <c r="O8" s="9">
        <v>-242.07636833500001</v>
      </c>
      <c r="P8" s="9">
        <v>62.945222581000003</v>
      </c>
      <c r="Q8" s="9">
        <v>494.23668756199999</v>
      </c>
      <c r="R8" s="9">
        <f>25.779819981-36.134936964+2036.064393949</f>
        <v>2025.7092769660001</v>
      </c>
      <c r="S8" s="9">
        <v>4353.9278657040004</v>
      </c>
      <c r="T8" s="9"/>
      <c r="U8" s="9"/>
      <c r="V8" s="9"/>
      <c r="W8" s="9"/>
      <c r="X8" s="9">
        <v>30870.173187113</v>
      </c>
      <c r="Y8" s="9">
        <v>22491.394695423001</v>
      </c>
      <c r="Z8" s="9">
        <v>8378.77849169</v>
      </c>
      <c r="AA8" s="9">
        <v>10497.488947013</v>
      </c>
      <c r="AB8" s="9">
        <v>9158.7448758749997</v>
      </c>
      <c r="AC8" s="9">
        <v>13332.649819548</v>
      </c>
      <c r="AD8" s="9">
        <v>4549.3605878369999</v>
      </c>
      <c r="AE8" s="9">
        <v>2107.408549281</v>
      </c>
      <c r="AF8" s="9">
        <v>7306.5387195189996</v>
      </c>
      <c r="AG8" s="9">
        <v>-881.65708850999999</v>
      </c>
      <c r="AH8" s="9">
        <v>737.00026618699997</v>
      </c>
      <c r="AI8" s="9">
        <f>436.237401799-7.822040307</f>
        <v>428.41536149199999</v>
      </c>
      <c r="AJ8" s="9">
        <v>689.23176688000001</v>
      </c>
      <c r="AK8" s="9" t="s">
        <v>62</v>
      </c>
      <c r="AL8" s="3"/>
      <c r="AM8" s="3"/>
      <c r="AN8" s="10">
        <f t="shared" ref="AN8:AN11" si="3">(L8-L7)/L7</f>
        <v>-0.46219021398592836</v>
      </c>
      <c r="AO8" s="3">
        <v>31</v>
      </c>
      <c r="AP8" s="3">
        <v>21</v>
      </c>
      <c r="AQ8" s="3"/>
      <c r="AR8" s="3"/>
      <c r="AS8" s="3"/>
      <c r="AT8" s="3"/>
      <c r="AU8" s="3"/>
      <c r="AV8" s="3"/>
    </row>
    <row r="9" spans="1:48" ht="15.4" x14ac:dyDescent="0.35">
      <c r="A9" s="9" t="s">
        <v>1</v>
      </c>
      <c r="B9" s="2">
        <v>2022</v>
      </c>
      <c r="C9" s="10">
        <f>(400186+30000+6040747+804454+1000+4+54+1573)/G9+0.06/100</f>
        <v>2.9455587037019188E-2</v>
      </c>
      <c r="D9" s="10">
        <v>8.4699999999999998E-2</v>
      </c>
      <c r="E9" s="10">
        <f>73596107/252222143</f>
        <v>0.29179082424971703</v>
      </c>
      <c r="F9" s="10">
        <f>(23181026+2705466)/252222143</f>
        <v>0.10263370095939595</v>
      </c>
      <c r="G9" s="3">
        <v>252222143</v>
      </c>
      <c r="H9" s="9">
        <v>9997</v>
      </c>
      <c r="I9" s="9">
        <v>3253665644700</v>
      </c>
      <c r="J9" s="9">
        <v>-1389991454</v>
      </c>
      <c r="K9" s="10">
        <v>2648</v>
      </c>
      <c r="L9" s="9">
        <v>5901.6905772099999</v>
      </c>
      <c r="M9" s="9">
        <v>5747.99066829</v>
      </c>
      <c r="N9" s="9">
        <v>1043.9580287010001</v>
      </c>
      <c r="O9" s="9">
        <v>860.54828134000002</v>
      </c>
      <c r="P9" s="9">
        <v>76.865705532000007</v>
      </c>
      <c r="Q9" s="9">
        <v>461.97566764200002</v>
      </c>
      <c r="R9" s="9">
        <f>5.07601172-25.779819981+4404.02335853</f>
        <v>4383.3195502690005</v>
      </c>
      <c r="S9" s="9">
        <v>516.257711589</v>
      </c>
      <c r="T9" s="9"/>
      <c r="U9" s="9"/>
      <c r="V9" s="9"/>
      <c r="W9" s="9"/>
      <c r="X9" s="9">
        <v>28559.496484791998</v>
      </c>
      <c r="Y9" s="9">
        <v>20258.490377579001</v>
      </c>
      <c r="Z9" s="9">
        <v>8301.0061072129993</v>
      </c>
      <c r="AA9" s="9">
        <v>7226.7420919690003</v>
      </c>
      <c r="AB9" s="9">
        <v>9570.4689697550002</v>
      </c>
      <c r="AC9" s="9">
        <v>10688.021407824001</v>
      </c>
      <c r="AD9" s="9">
        <v>1616.8764851860001</v>
      </c>
      <c r="AE9" s="9">
        <v>1716.9392010619999</v>
      </c>
      <c r="AF9" s="9">
        <v>6807.5398231669997</v>
      </c>
      <c r="AG9" s="9">
        <v>973.02379617899999</v>
      </c>
      <c r="AH9" s="9">
        <v>-22.305298181000001</v>
      </c>
      <c r="AI9" s="9">
        <f>251.344638412-6.79361686</f>
        <v>244.55102155200001</v>
      </c>
      <c r="AJ9" s="9">
        <v>245.74296689900001</v>
      </c>
      <c r="AK9" s="9" t="s">
        <v>62</v>
      </c>
      <c r="AL9" s="3"/>
      <c r="AM9" s="3"/>
      <c r="AN9" s="10">
        <f t="shared" si="3"/>
        <v>1.0289832701428767</v>
      </c>
      <c r="AO9" s="3">
        <v>35</v>
      </c>
      <c r="AP9" s="3">
        <v>22</v>
      </c>
      <c r="AQ9" s="3"/>
      <c r="AR9" s="3"/>
      <c r="AS9" s="3"/>
      <c r="AT9" s="3"/>
      <c r="AU9" s="3"/>
      <c r="AV9" s="3"/>
    </row>
    <row r="10" spans="1:48" ht="15.4" x14ac:dyDescent="0.35">
      <c r="A10" s="9" t="s">
        <v>1</v>
      </c>
      <c r="B10" s="3">
        <v>2023</v>
      </c>
      <c r="C10" s="10">
        <f>(30000+200+5000+90000)/G10</f>
        <v>3.9325954027463457E-4</v>
      </c>
      <c r="D10" s="10">
        <f>7.55/100</f>
        <v>7.5499999999999998E-2</v>
      </c>
      <c r="E10" s="10">
        <f>53048286/318364813</f>
        <v>0.16662735275333332</v>
      </c>
      <c r="F10" s="10">
        <f>(16218309+2166765)/318364813</f>
        <v>5.7748448475680003E-2</v>
      </c>
      <c r="G10" s="3">
        <v>318364813</v>
      </c>
      <c r="H10" s="9">
        <v>13662</v>
      </c>
      <c r="I10" s="9">
        <v>5491793024000</v>
      </c>
      <c r="J10" s="9">
        <v>-23883149959</v>
      </c>
      <c r="K10" s="10">
        <v>583</v>
      </c>
      <c r="L10" s="9">
        <v>3195.3165636829999</v>
      </c>
      <c r="M10" s="9">
        <v>3089.7099400450002</v>
      </c>
      <c r="N10" s="9">
        <v>450.88429591099998</v>
      </c>
      <c r="O10" s="9">
        <v>369.95227058099999</v>
      </c>
      <c r="P10" s="9">
        <v>79.931706747999996</v>
      </c>
      <c r="Q10" s="9">
        <v>468.37436556900002</v>
      </c>
      <c r="R10" s="9">
        <f>77.277615278+1934.641230864</f>
        <v>2011.9188461419999</v>
      </c>
      <c r="S10" s="9">
        <v>403.63163039599999</v>
      </c>
      <c r="T10" s="9"/>
      <c r="U10" s="9"/>
      <c r="V10" s="9"/>
      <c r="W10" s="9"/>
      <c r="X10" s="9">
        <v>33184.094516398</v>
      </c>
      <c r="Y10" s="9">
        <v>24678.766295450001</v>
      </c>
      <c r="Z10" s="9">
        <v>8505.3282209480003</v>
      </c>
      <c r="AA10" s="9">
        <v>6910.7591345520004</v>
      </c>
      <c r="AB10" s="9">
        <v>8144.1743398999997</v>
      </c>
      <c r="AC10" s="9">
        <v>16534.59195555</v>
      </c>
      <c r="AD10" s="9">
        <v>581.77192873599995</v>
      </c>
      <c r="AE10" s="9">
        <v>25.381438029000002</v>
      </c>
      <c r="AF10" s="9">
        <v>16374.850020006999</v>
      </c>
      <c r="AG10" s="9">
        <v>-1140.786700531</v>
      </c>
      <c r="AH10" s="9">
        <v>374.42204139699999</v>
      </c>
      <c r="AI10" s="9">
        <f>476.865472641-0.655454546</f>
        <v>476.21001809500001</v>
      </c>
      <c r="AJ10" s="9">
        <v>1200.7118156879999</v>
      </c>
      <c r="AK10" s="9" t="s">
        <v>62</v>
      </c>
      <c r="AL10" s="3"/>
      <c r="AM10" s="3"/>
      <c r="AN10" s="10">
        <f t="shared" si="3"/>
        <v>-0.45857606021873604</v>
      </c>
      <c r="AO10" s="3">
        <v>35</v>
      </c>
      <c r="AP10" s="3">
        <v>23</v>
      </c>
      <c r="AQ10" s="3"/>
      <c r="AR10" s="3"/>
      <c r="AS10" s="3"/>
      <c r="AT10" s="3"/>
      <c r="AU10" s="3"/>
      <c r="AV10" s="3"/>
    </row>
    <row r="11" spans="1:48" ht="15.4" x14ac:dyDescent="0.35">
      <c r="A11" s="9" t="s">
        <v>1</v>
      </c>
      <c r="B11" s="2">
        <v>2024</v>
      </c>
      <c r="C11" s="10">
        <f>(700+50000+3000)/319752413</f>
        <v>1.6794243863923553E-4</v>
      </c>
      <c r="D11" s="10">
        <f>24049215/319752413</f>
        <v>7.5211989096076029E-2</v>
      </c>
      <c r="E11" s="10">
        <f>45160278/319752413</f>
        <v>0.14123514370476384</v>
      </c>
      <c r="F11" s="10">
        <f>16676696/319752413</f>
        <v>5.2155027833988545E-2</v>
      </c>
      <c r="G11" s="3">
        <v>319752413</v>
      </c>
      <c r="H11" s="9">
        <v>11963</v>
      </c>
      <c r="I11" s="9">
        <v>4460546161350</v>
      </c>
      <c r="J11" s="9">
        <v>-507415057323</v>
      </c>
      <c r="K11" s="10">
        <v>723</v>
      </c>
      <c r="L11" s="9">
        <v>3182.4959306780001</v>
      </c>
      <c r="M11" s="9">
        <v>3027.7429561200001</v>
      </c>
      <c r="N11" s="9">
        <v>640.13396170399994</v>
      </c>
      <c r="O11" s="9">
        <v>618.28544595899996</v>
      </c>
      <c r="P11" s="9">
        <v>83.761287417000005</v>
      </c>
      <c r="Q11" s="9">
        <v>543.23617817000002</v>
      </c>
      <c r="R11" s="9">
        <f>(30.30476+0.473333692)-(77.277615278+5.07601172)+1363.536334642</f>
        <v>1311.960801336</v>
      </c>
      <c r="S11" s="9">
        <v>2231.1973319829999</v>
      </c>
      <c r="T11" s="9"/>
      <c r="U11" s="9"/>
      <c r="V11" s="9"/>
      <c r="W11" s="9"/>
      <c r="X11" s="9">
        <v>36671.413228231002</v>
      </c>
      <c r="Y11" s="9">
        <v>27547.027570872</v>
      </c>
      <c r="Z11" s="9">
        <v>9124.3856573590001</v>
      </c>
      <c r="AA11" s="9">
        <v>8549.1650255080003</v>
      </c>
      <c r="AB11" s="9">
        <v>8961.3421964499994</v>
      </c>
      <c r="AC11" s="9">
        <v>18585.685374421999</v>
      </c>
      <c r="AD11" s="9">
        <v>2294.4738402470002</v>
      </c>
      <c r="AE11" s="9">
        <v>380.12156045400002</v>
      </c>
      <c r="AF11" s="9">
        <v>15883.216608795999</v>
      </c>
      <c r="AG11" s="9">
        <v>472.33520916100002</v>
      </c>
      <c r="AH11" s="9">
        <v>-2058.2763088199999</v>
      </c>
      <c r="AI11" s="9">
        <f>411.292592793-7.174024588</f>
        <v>404.11856820499997</v>
      </c>
      <c r="AJ11" s="9">
        <v>1351.8104619000001</v>
      </c>
      <c r="AK11" s="9" t="s">
        <v>62</v>
      </c>
      <c r="AL11" s="3"/>
      <c r="AM11" s="3"/>
      <c r="AN11" s="10">
        <f t="shared" si="3"/>
        <v>-4.0123201408947063E-3</v>
      </c>
      <c r="AO11" s="3">
        <v>45</v>
      </c>
      <c r="AP11" s="3">
        <v>24</v>
      </c>
      <c r="AQ11" s="3"/>
      <c r="AR11" s="3"/>
      <c r="AS11" s="3"/>
      <c r="AT11" s="3"/>
      <c r="AU11" s="3"/>
      <c r="AV11" s="3"/>
    </row>
    <row r="12" spans="1:48" ht="15.4" x14ac:dyDescent="0.35">
      <c r="A12" s="9" t="s">
        <v>19</v>
      </c>
      <c r="B12" s="2">
        <v>2020</v>
      </c>
      <c r="C12" s="10">
        <f>(471095+363364+439908+106546+339353+92071+291076+50520+32000)/G12</f>
        <v>4.1764965895834866E-2</v>
      </c>
      <c r="D12" s="10">
        <v>0.13339999999999999</v>
      </c>
      <c r="E12" s="10">
        <f>(10.92+0.05)/100</f>
        <v>0.10970000000000001</v>
      </c>
      <c r="F12" s="10">
        <f>0.1/100</f>
        <v>1E-3</v>
      </c>
      <c r="G12" s="3">
        <v>52338915</v>
      </c>
      <c r="H12" s="9">
        <v>24321</v>
      </c>
      <c r="I12" s="9">
        <f t="shared" ref="I12:I41" si="4">G12*H12</f>
        <v>1272934751715</v>
      </c>
      <c r="J12" s="9">
        <v>-78547526175</v>
      </c>
      <c r="K12" s="10">
        <v>2712</v>
      </c>
      <c r="L12" s="9">
        <v>1329.775162011</v>
      </c>
      <c r="M12" s="9">
        <v>1256.952371543</v>
      </c>
      <c r="N12" s="9">
        <v>190.44772987100001</v>
      </c>
      <c r="O12" s="9">
        <v>157.85956481599999</v>
      </c>
      <c r="P12" s="9">
        <v>-220.85512802299999</v>
      </c>
      <c r="Q12" s="9">
        <v>-88.501075564000004</v>
      </c>
      <c r="R12" s="9">
        <f>13.395610691-37.102334015+765.813093618</f>
        <v>742.10637029400004</v>
      </c>
      <c r="S12" s="9">
        <v>9.6616463610000007</v>
      </c>
      <c r="T12" s="9">
        <v>98.994711971000001</v>
      </c>
      <c r="U12" s="9">
        <f>W12-V12-188.376356935</f>
        <v>211.65914574599998</v>
      </c>
      <c r="V12" s="9">
        <v>491.227528898</v>
      </c>
      <c r="W12" s="9">
        <v>891.26303157899997</v>
      </c>
      <c r="X12" s="9">
        <v>1437.409436723</v>
      </c>
      <c r="Y12" s="9">
        <v>448.78390649300002</v>
      </c>
      <c r="Z12" s="9">
        <v>988.62553022999998</v>
      </c>
      <c r="AA12" s="9">
        <v>835.84573580300003</v>
      </c>
      <c r="AB12" s="9">
        <v>347.87234367100001</v>
      </c>
      <c r="AC12" s="9">
        <v>100.91156282199999</v>
      </c>
      <c r="AD12" s="9">
        <v>214.908006156</v>
      </c>
      <c r="AE12" s="9">
        <v>186.89107758700001</v>
      </c>
      <c r="AF12" s="9">
        <v>61.731483842000003</v>
      </c>
      <c r="AG12" s="9">
        <v>212.90751051300001</v>
      </c>
      <c r="AH12" s="9">
        <v>-2.1428754510000001</v>
      </c>
      <c r="AI12" s="9">
        <f>59.734319658-4</f>
        <v>55.734319657999997</v>
      </c>
      <c r="AJ12" s="9">
        <v>108.72871471000001</v>
      </c>
      <c r="AK12" s="9" t="s">
        <v>62</v>
      </c>
      <c r="AL12" s="3"/>
      <c r="AM12" s="3"/>
      <c r="AN12" s="10">
        <f>(L12-1321.00622956)/1321.00622956</f>
        <v>6.6380704759588498E-3</v>
      </c>
      <c r="AO12" s="3">
        <v>941</v>
      </c>
      <c r="AP12" s="3">
        <v>41</v>
      </c>
      <c r="AQ12" s="3"/>
      <c r="AR12" s="3"/>
      <c r="AS12" s="3"/>
      <c r="AT12" s="3"/>
      <c r="AU12" s="3"/>
      <c r="AV12" s="3"/>
    </row>
    <row r="13" spans="1:48" ht="15.4" x14ac:dyDescent="0.35">
      <c r="A13" s="9" t="s">
        <v>19</v>
      </c>
      <c r="B13" s="3">
        <v>2021</v>
      </c>
      <c r="C13" s="10">
        <f>(518204+373288+399700+328500+483898+101278+541+320183+572+25003)/G13</f>
        <v>4.4281527095083831E-2</v>
      </c>
      <c r="D13" s="10">
        <v>0.13339999999999999</v>
      </c>
      <c r="E13" s="10">
        <f>0.1033+0.0462</f>
        <v>0.14949999999999999</v>
      </c>
      <c r="F13" s="10">
        <v>4.8000000000000001E-2</v>
      </c>
      <c r="G13" s="3">
        <v>57612444</v>
      </c>
      <c r="H13" s="9">
        <v>29267</v>
      </c>
      <c r="I13" s="9">
        <f t="shared" si="4"/>
        <v>1686143398548</v>
      </c>
      <c r="J13" s="9">
        <v>-75552743100</v>
      </c>
      <c r="K13" s="10">
        <v>2825</v>
      </c>
      <c r="L13" s="9">
        <v>1634.6838253430001</v>
      </c>
      <c r="M13" s="9">
        <v>1558.5043332830001</v>
      </c>
      <c r="N13" s="9">
        <v>230.88481574100001</v>
      </c>
      <c r="O13" s="9">
        <v>189.12357844499999</v>
      </c>
      <c r="P13" s="9">
        <v>-278.38905517500001</v>
      </c>
      <c r="Q13" s="9">
        <v>-127.048044656</v>
      </c>
      <c r="R13" s="9">
        <f>14.906807396-13.395610691+935.938713151</f>
        <v>937.44990985599998</v>
      </c>
      <c r="S13" s="9">
        <v>3.6649634149999999</v>
      </c>
      <c r="T13" s="9">
        <v>121.484107233</v>
      </c>
      <c r="U13" s="9">
        <f>W13-V13-245.331190119</f>
        <v>256.42161859699991</v>
      </c>
      <c r="V13" s="9">
        <v>487.43203985700001</v>
      </c>
      <c r="W13" s="9">
        <v>989.18484857299995</v>
      </c>
      <c r="X13" s="9">
        <v>1559.5179870280001</v>
      </c>
      <c r="Y13" s="9">
        <v>418.96909817</v>
      </c>
      <c r="Z13" s="9">
        <v>1140.5488888580001</v>
      </c>
      <c r="AA13" s="9">
        <v>948.19660115800002</v>
      </c>
      <c r="AB13" s="9">
        <v>286.96568996600001</v>
      </c>
      <c r="AC13" s="9">
        <v>132.00340820400001</v>
      </c>
      <c r="AD13" s="9">
        <v>254.08388323599999</v>
      </c>
      <c r="AE13" s="9">
        <v>186.67396506599999</v>
      </c>
      <c r="AF13" s="9">
        <v>60.411372448999998</v>
      </c>
      <c r="AG13" s="9">
        <v>117.567722386</v>
      </c>
      <c r="AH13" s="9">
        <v>-95.226727319999995</v>
      </c>
      <c r="AI13" s="9">
        <f>54.63558849-0.000999999</f>
        <v>54.634588491000002</v>
      </c>
      <c r="AJ13" s="9">
        <v>69.271018408000003</v>
      </c>
      <c r="AK13" s="9" t="s">
        <v>62</v>
      </c>
      <c r="AL13" s="3"/>
      <c r="AM13" s="3"/>
      <c r="AN13" s="10">
        <f t="shared" ref="AN13:AN16" si="5">(L13-L12)/L12</f>
        <v>0.22929339638957538</v>
      </c>
      <c r="AO13" s="3">
        <v>930</v>
      </c>
      <c r="AP13" s="3">
        <v>42</v>
      </c>
      <c r="AQ13" s="3"/>
      <c r="AR13" s="3"/>
      <c r="AS13" s="3"/>
      <c r="AT13" s="3"/>
      <c r="AU13" s="3"/>
      <c r="AV13" s="3"/>
    </row>
    <row r="14" spans="1:48" ht="15.4" x14ac:dyDescent="0.35">
      <c r="A14" s="9" t="s">
        <v>19</v>
      </c>
      <c r="B14" s="2">
        <v>2022</v>
      </c>
      <c r="C14" s="10">
        <f>(673665+485274+237250+131661+629067+703+71+32506+416237)/G14</f>
        <v>3.482513385201761E-2</v>
      </c>
      <c r="D14" s="10">
        <v>0.13339999999999999</v>
      </c>
      <c r="E14" s="10">
        <f>0.1335+0.0094</f>
        <v>0.1429</v>
      </c>
      <c r="F14" s="10">
        <v>9.2999999999999999E-2</v>
      </c>
      <c r="G14" s="3">
        <v>74843474</v>
      </c>
      <c r="H14" s="9">
        <v>28905</v>
      </c>
      <c r="I14" s="9">
        <f t="shared" si="4"/>
        <v>2163350615970</v>
      </c>
      <c r="J14" s="9">
        <v>0</v>
      </c>
      <c r="K14" s="10">
        <v>2799</v>
      </c>
      <c r="L14" s="9">
        <v>1617.008973558</v>
      </c>
      <c r="M14" s="9">
        <v>1554.8214952159999</v>
      </c>
      <c r="N14" s="9">
        <v>298.67425949900002</v>
      </c>
      <c r="O14" s="9">
        <v>243.55511697399999</v>
      </c>
      <c r="P14" s="9">
        <v>-357.37099982699999</v>
      </c>
      <c r="Q14" s="9">
        <v>-136.94148383000001</v>
      </c>
      <c r="R14" s="9">
        <f>12.346109906-14.906807396+787.169807482</f>
        <v>784.60910999199996</v>
      </c>
      <c r="S14" s="9">
        <v>11.252972959999999</v>
      </c>
      <c r="T14" s="9">
        <v>120.629322712</v>
      </c>
      <c r="U14" s="9">
        <f>1252.597172947-615.770188947-309.854166822</f>
        <v>326.97281717800001</v>
      </c>
      <c r="V14" s="9">
        <v>615.77018894699995</v>
      </c>
      <c r="W14" s="9">
        <v>1252.597172947</v>
      </c>
      <c r="X14" s="9">
        <v>1895.717209447</v>
      </c>
      <c r="Y14" s="9">
        <v>540.58015326199995</v>
      </c>
      <c r="Z14" s="9">
        <v>1355.1370561849999</v>
      </c>
      <c r="AA14" s="9">
        <v>1247.7890189090001</v>
      </c>
      <c r="AB14" s="9">
        <v>405.457018941</v>
      </c>
      <c r="AC14" s="9">
        <v>135.12313432100001</v>
      </c>
      <c r="AD14" s="9">
        <v>450.345438543</v>
      </c>
      <c r="AE14" s="9">
        <v>296.81122759200002</v>
      </c>
      <c r="AF14" s="9">
        <v>60.120767379</v>
      </c>
      <c r="AG14" s="9">
        <v>165.01199213800001</v>
      </c>
      <c r="AH14" s="9">
        <v>-157.69108823600001</v>
      </c>
      <c r="AI14" s="9">
        <v>82.827586026999995</v>
      </c>
      <c r="AJ14" s="9">
        <v>55.562451250000002</v>
      </c>
      <c r="AK14" s="9" t="s">
        <v>62</v>
      </c>
      <c r="AL14" s="3"/>
      <c r="AM14" s="3"/>
      <c r="AN14" s="10">
        <f t="shared" si="5"/>
        <v>-1.0812397792760595E-2</v>
      </c>
      <c r="AO14" s="3">
        <v>1180</v>
      </c>
      <c r="AP14" s="3">
        <v>43</v>
      </c>
      <c r="AQ14" s="3"/>
      <c r="AR14" s="3"/>
      <c r="AS14" s="3"/>
      <c r="AT14" s="3"/>
      <c r="AU14" s="3"/>
      <c r="AV14" s="3"/>
    </row>
    <row r="15" spans="1:48" ht="15.4" x14ac:dyDescent="0.35">
      <c r="A15" s="9" t="s">
        <v>19</v>
      </c>
      <c r="B15" s="3">
        <v>2023</v>
      </c>
      <c r="C15" s="10">
        <f>(485274+7+131661+629067+703+65006)/G15</f>
        <v>1.7526150643408133E-2</v>
      </c>
      <c r="D15" s="10">
        <v>0</v>
      </c>
      <c r="E15" s="10">
        <v>0.13339999999999999</v>
      </c>
      <c r="F15" s="10">
        <v>0.03</v>
      </c>
      <c r="G15" s="3">
        <v>74843474</v>
      </c>
      <c r="H15" s="9">
        <v>41811</v>
      </c>
      <c r="I15" s="9">
        <f t="shared" si="4"/>
        <v>3129280491414</v>
      </c>
      <c r="J15" s="9">
        <v>-149698254425</v>
      </c>
      <c r="K15" s="10">
        <v>3092</v>
      </c>
      <c r="L15" s="9">
        <v>1731.7257824650001</v>
      </c>
      <c r="M15" s="9">
        <v>1651.769578959</v>
      </c>
      <c r="N15" s="9">
        <v>322.03358480000003</v>
      </c>
      <c r="O15" s="9">
        <v>269.054870446</v>
      </c>
      <c r="P15" s="9">
        <v>-375.562332884</v>
      </c>
      <c r="Q15" s="9">
        <v>-125.97615826400001</v>
      </c>
      <c r="R15" s="9">
        <f>853.249521398+5.341907605-12.346109906</f>
        <v>846.24531909699988</v>
      </c>
      <c r="S15" s="9">
        <v>16.738489191999999</v>
      </c>
      <c r="T15" s="9">
        <v>140.51649720699999</v>
      </c>
      <c r="U15" s="9">
        <f>1345.349338312-647.599499586-329.204217769</f>
        <v>368.5456209570001</v>
      </c>
      <c r="V15" s="9">
        <v>647.59949958599998</v>
      </c>
      <c r="W15" s="9">
        <v>1345.3493383120001</v>
      </c>
      <c r="X15" s="9">
        <v>1988.909304796</v>
      </c>
      <c r="Y15" s="9">
        <v>556.06776500700005</v>
      </c>
      <c r="Z15" s="9">
        <v>1432.8415397890001</v>
      </c>
      <c r="AA15" s="9">
        <v>1260.686049632</v>
      </c>
      <c r="AB15" s="9">
        <v>417.98944578800001</v>
      </c>
      <c r="AC15" s="9">
        <v>138.07831921900001</v>
      </c>
      <c r="AD15" s="9">
        <v>487.85285579399999</v>
      </c>
      <c r="AE15" s="9">
        <v>299.10588197200002</v>
      </c>
      <c r="AF15" s="9">
        <v>58.199864091000002</v>
      </c>
      <c r="AG15" s="9">
        <v>293.99148441800003</v>
      </c>
      <c r="AH15" s="9">
        <v>-115.23642979</v>
      </c>
      <c r="AI15" s="9">
        <v>133.69356880699999</v>
      </c>
      <c r="AJ15" s="9">
        <v>87.837172190999993</v>
      </c>
      <c r="AK15" s="9" t="s">
        <v>62</v>
      </c>
      <c r="AL15" s="3"/>
      <c r="AM15" s="3"/>
      <c r="AN15" s="10">
        <f t="shared" si="5"/>
        <v>7.0943829491917992E-2</v>
      </c>
      <c r="AO15" s="3">
        <v>1224</v>
      </c>
      <c r="AP15" s="3">
        <v>44</v>
      </c>
      <c r="AQ15" s="3"/>
      <c r="AR15" s="3"/>
      <c r="AS15" s="3"/>
      <c r="AT15" s="3"/>
      <c r="AU15" s="3"/>
      <c r="AV15" s="3"/>
    </row>
    <row r="16" spans="1:48" ht="15.4" x14ac:dyDescent="0.35">
      <c r="A16" s="9" t="s">
        <v>19</v>
      </c>
      <c r="B16" s="2">
        <v>2024</v>
      </c>
      <c r="C16" s="10">
        <f>(606592+164576+975+8+878)/G16</f>
        <v>8.2628874670509674E-3</v>
      </c>
      <c r="D16" s="10">
        <v>0.13339999999999999</v>
      </c>
      <c r="E16" s="10">
        <v>0.22270000000000001</v>
      </c>
      <c r="F16" s="10">
        <v>0.13350000000000001</v>
      </c>
      <c r="G16" s="3">
        <v>93554342</v>
      </c>
      <c r="H16" s="9">
        <v>55543</v>
      </c>
      <c r="I16" s="9">
        <f t="shared" si="4"/>
        <v>5196288817706</v>
      </c>
      <c r="J16" s="9">
        <v>-9933200</v>
      </c>
      <c r="K16" s="10">
        <v>2530</v>
      </c>
      <c r="L16" s="9">
        <v>1817.2591640830001</v>
      </c>
      <c r="M16" s="9">
        <v>1727.5483875709999</v>
      </c>
      <c r="N16" s="9">
        <v>329.08621187</v>
      </c>
      <c r="O16" s="9">
        <v>275.18194918699999</v>
      </c>
      <c r="P16" s="9">
        <v>-404.19509603500001</v>
      </c>
      <c r="Q16" s="9">
        <v>-122.785668843</v>
      </c>
      <c r="R16" s="9">
        <f>7.77702104-5.341907605+894.975138716</f>
        <v>897.4102521509999</v>
      </c>
      <c r="S16" s="9">
        <v>28.947218521</v>
      </c>
      <c r="T16" s="9">
        <v>145.54301823</v>
      </c>
      <c r="U16" s="9">
        <f>1415.28225368-669.140873557-337.380955381</f>
        <v>408.760424742</v>
      </c>
      <c r="V16" s="9">
        <v>669.14087355699996</v>
      </c>
      <c r="W16" s="9">
        <v>1415.2822536799999</v>
      </c>
      <c r="X16" s="9">
        <v>2264.2065327159999</v>
      </c>
      <c r="Y16" s="9">
        <v>603.06571699899996</v>
      </c>
      <c r="Z16" s="9">
        <v>1661.1408157169999</v>
      </c>
      <c r="AA16" s="9">
        <v>1476.2806177770001</v>
      </c>
      <c r="AB16" s="9">
        <v>460.154613654</v>
      </c>
      <c r="AC16" s="9">
        <v>142.91110334499999</v>
      </c>
      <c r="AD16" s="9">
        <v>505.38096221799998</v>
      </c>
      <c r="AE16" s="9">
        <v>280.72574544399998</v>
      </c>
      <c r="AF16" s="9">
        <v>56.823933740000001</v>
      </c>
      <c r="AG16" s="9">
        <v>264.730278527</v>
      </c>
      <c r="AH16" s="9">
        <v>-22.983972740999999</v>
      </c>
      <c r="AI16" s="9">
        <v>148.745141676</v>
      </c>
      <c r="AJ16" s="9">
        <v>314.19873182499998</v>
      </c>
      <c r="AK16" s="9" t="s">
        <v>62</v>
      </c>
      <c r="AL16" s="3"/>
      <c r="AM16" s="3"/>
      <c r="AN16" s="10">
        <f t="shared" si="5"/>
        <v>4.9391989473211377E-2</v>
      </c>
      <c r="AO16" s="3">
        <v>1332</v>
      </c>
      <c r="AP16" s="3">
        <v>45</v>
      </c>
      <c r="AQ16" s="3"/>
      <c r="AR16" s="3"/>
      <c r="AS16" s="3"/>
      <c r="AT16" s="3"/>
      <c r="AU16" s="3"/>
      <c r="AV16" s="3"/>
    </row>
    <row r="17" spans="1:48" ht="15.4" x14ac:dyDescent="0.35">
      <c r="A17" s="9" t="s">
        <v>18</v>
      </c>
      <c r="B17" s="2">
        <v>2020</v>
      </c>
      <c r="C17" s="10">
        <f t="shared" ref="C17:C21" si="6">(27+34234)/G17</f>
        <v>9.8656783614928419E-4</v>
      </c>
      <c r="D17" s="10">
        <v>0.34710000000000002</v>
      </c>
      <c r="E17" s="10">
        <f>(0.06+5.2)/100</f>
        <v>5.2600000000000001E-2</v>
      </c>
      <c r="F17" s="10">
        <f>(51.68+0.91+5.2)/100</f>
        <v>0.57789999999999997</v>
      </c>
      <c r="G17" s="3">
        <v>34727465</v>
      </c>
      <c r="H17" s="9">
        <v>48384</v>
      </c>
      <c r="I17" s="9">
        <f t="shared" si="4"/>
        <v>1680253666560</v>
      </c>
      <c r="J17" s="9">
        <v>-86818662500</v>
      </c>
      <c r="K17" s="10">
        <v>5170</v>
      </c>
      <c r="L17" s="9">
        <v>1542.2669162479999</v>
      </c>
      <c r="M17" s="9">
        <v>1451.953785551</v>
      </c>
      <c r="N17" s="9">
        <v>221.594735722</v>
      </c>
      <c r="O17" s="9">
        <v>179.53520102799999</v>
      </c>
      <c r="P17" s="9">
        <v>-153.38125197400001</v>
      </c>
      <c r="Q17" s="9">
        <v>-81.909040606999994</v>
      </c>
      <c r="R17" s="9">
        <f>24.472887192-8.355876688+1013.487938481</f>
        <v>1029.604948985</v>
      </c>
      <c r="S17" s="9">
        <v>9.8675025479999992</v>
      </c>
      <c r="T17" s="9">
        <v>79.062702873999996</v>
      </c>
      <c r="U17" s="9">
        <f>W17-V17-175.285551446</f>
        <v>163.77594348400009</v>
      </c>
      <c r="V17" s="9">
        <v>891.83596486299996</v>
      </c>
      <c r="W17" s="9">
        <v>1230.8974597930001</v>
      </c>
      <c r="X17" s="9">
        <v>1463.982459092</v>
      </c>
      <c r="Y17" s="9">
        <v>148.61069022999999</v>
      </c>
      <c r="Z17" s="9">
        <v>1315.371768862</v>
      </c>
      <c r="AA17" s="9">
        <v>1241.1626160799999</v>
      </c>
      <c r="AB17" s="9">
        <v>147.65015988600001</v>
      </c>
      <c r="AC17" s="9">
        <v>0.96053034400000004</v>
      </c>
      <c r="AD17" s="9">
        <v>248.89777866399999</v>
      </c>
      <c r="AE17" s="9">
        <v>144.00019507499999</v>
      </c>
      <c r="AF17" s="9">
        <v>46.765741419999998</v>
      </c>
      <c r="AG17" s="9">
        <v>-44.819438857000002</v>
      </c>
      <c r="AH17" s="9">
        <v>140.79840367899999</v>
      </c>
      <c r="AI17" s="9">
        <f>14.258373146-1.459002093</f>
        <v>12.799371053</v>
      </c>
      <c r="AJ17" s="9">
        <v>107.527454592</v>
      </c>
      <c r="AK17" s="9" t="s">
        <v>62</v>
      </c>
      <c r="AL17" s="3"/>
      <c r="AM17" s="3"/>
      <c r="AN17" s="10">
        <f>(L17-1533.850591042)/1533.850591042</f>
        <v>5.4870567284408698E-3</v>
      </c>
      <c r="AO17" s="3" t="s">
        <v>62</v>
      </c>
      <c r="AP17" s="3">
        <v>41</v>
      </c>
      <c r="AQ17" s="3"/>
      <c r="AR17" s="3"/>
      <c r="AS17" s="3"/>
      <c r="AT17" s="3"/>
      <c r="AU17" s="3"/>
      <c r="AV17" s="3"/>
    </row>
    <row r="18" spans="1:48" ht="15.4" x14ac:dyDescent="0.35">
      <c r="A18" s="9" t="s">
        <v>18</v>
      </c>
      <c r="B18" s="3">
        <v>2021</v>
      </c>
      <c r="C18" s="10">
        <f t="shared" si="6"/>
        <v>9.8656783614928419E-4</v>
      </c>
      <c r="D18" s="10">
        <v>0.34710000000000002</v>
      </c>
      <c r="E18" s="10">
        <f>0.32/100</f>
        <v>3.2000000000000002E-3</v>
      </c>
      <c r="F18" s="10">
        <f>(51.68+10.05+0.16)/100</f>
        <v>0.61890000000000001</v>
      </c>
      <c r="G18" s="3">
        <v>34727465</v>
      </c>
      <c r="H18" s="9">
        <v>44667</v>
      </c>
      <c r="I18" s="9">
        <f t="shared" si="4"/>
        <v>1551171679155</v>
      </c>
      <c r="J18" s="9">
        <v>-86818662500</v>
      </c>
      <c r="K18" s="10">
        <v>4587</v>
      </c>
      <c r="L18" s="9">
        <v>1567.8175048999999</v>
      </c>
      <c r="M18" s="9">
        <v>1498.39484659</v>
      </c>
      <c r="N18" s="9">
        <v>197.963544165</v>
      </c>
      <c r="O18" s="9">
        <v>159.28186829500001</v>
      </c>
      <c r="P18" s="9">
        <v>-144.898379173</v>
      </c>
      <c r="Q18" s="9">
        <v>-70.312214023999999</v>
      </c>
      <c r="R18" s="9">
        <f>50.480888614-24.472887192+1096.779308875</f>
        <v>1122.787310297</v>
      </c>
      <c r="S18" s="9">
        <v>28.263880435000001</v>
      </c>
      <c r="T18" s="9">
        <v>66.582272763000006</v>
      </c>
      <c r="U18" s="9">
        <f>W18-V18-172.35374305</f>
        <v>134.169633938</v>
      </c>
      <c r="V18" s="9">
        <v>1015.652524494</v>
      </c>
      <c r="W18" s="9">
        <v>1322.175901482</v>
      </c>
      <c r="X18" s="9">
        <v>1621.8514329879999</v>
      </c>
      <c r="Y18" s="9">
        <v>255.81997843400001</v>
      </c>
      <c r="Z18" s="9">
        <v>1366.031454554</v>
      </c>
      <c r="AA18" s="9">
        <v>1421.7552394679999</v>
      </c>
      <c r="AB18" s="9">
        <v>255.73176910399999</v>
      </c>
      <c r="AC18" s="9">
        <v>8.8209330000000002E-2</v>
      </c>
      <c r="AD18" s="9">
        <v>348.51169118899998</v>
      </c>
      <c r="AE18" s="9">
        <v>126.387815324</v>
      </c>
      <c r="AF18" s="9">
        <v>45.606624879999998</v>
      </c>
      <c r="AG18" s="9">
        <v>162.44502679499999</v>
      </c>
      <c r="AH18" s="9">
        <v>-97.757355072999999</v>
      </c>
      <c r="AI18" s="9">
        <f>6.114232713-0.159181819</f>
        <v>5.9550508940000002</v>
      </c>
      <c r="AJ18" s="9">
        <v>85.376797212</v>
      </c>
      <c r="AK18" s="9" t="s">
        <v>62</v>
      </c>
      <c r="AL18" s="3"/>
      <c r="AM18" s="3"/>
      <c r="AN18" s="10">
        <f t="shared" ref="AN18:AN21" si="7">(L18-L17)/L17</f>
        <v>1.6566904459157442E-2</v>
      </c>
      <c r="AO18" s="3" t="s">
        <v>62</v>
      </c>
      <c r="AP18" s="3">
        <v>42</v>
      </c>
      <c r="AQ18" s="3"/>
      <c r="AR18" s="3"/>
      <c r="AS18" s="3"/>
      <c r="AT18" s="3"/>
      <c r="AU18" s="3"/>
      <c r="AV18" s="3"/>
    </row>
    <row r="19" spans="1:48" ht="15.4" x14ac:dyDescent="0.35">
      <c r="A19" s="9" t="s">
        <v>18</v>
      </c>
      <c r="B19" s="2">
        <v>2022</v>
      </c>
      <c r="C19" s="10">
        <f t="shared" si="6"/>
        <v>9.8656783614928419E-4</v>
      </c>
      <c r="D19" s="10">
        <v>0.34710000000000002</v>
      </c>
      <c r="E19" s="10">
        <f>(0.15+2.47)/100</f>
        <v>2.6200000000000001E-2</v>
      </c>
      <c r="F19" s="10">
        <f>(51.69+1.18+2.47)/100</f>
        <v>0.5534</v>
      </c>
      <c r="G19" s="3">
        <v>34727465</v>
      </c>
      <c r="H19" s="9">
        <v>36748</v>
      </c>
      <c r="I19" s="9">
        <f t="shared" si="4"/>
        <v>1276164883820</v>
      </c>
      <c r="J19" s="9">
        <v>-86818662500</v>
      </c>
      <c r="K19" s="10">
        <v>5761</v>
      </c>
      <c r="L19" s="9">
        <v>1593.4980721520001</v>
      </c>
      <c r="M19" s="9">
        <v>1592.726748003</v>
      </c>
      <c r="N19" s="9">
        <v>247.932642681</v>
      </c>
      <c r="O19" s="9">
        <v>200.07585901799999</v>
      </c>
      <c r="P19" s="9">
        <v>-146.21672415699999</v>
      </c>
      <c r="Q19" s="9">
        <v>-72.188363768000002</v>
      </c>
      <c r="R19" s="9">
        <f>78.199280798-50.480888614+1139.838059083</f>
        <v>1167.5564512670001</v>
      </c>
      <c r="S19" s="9">
        <v>14.947722442</v>
      </c>
      <c r="T19" s="9">
        <v>62.414919498000003</v>
      </c>
      <c r="U19" s="9">
        <f>W19-V19-178.215838108</f>
        <v>119.133453944</v>
      </c>
      <c r="V19" s="9">
        <v>1096.908210027</v>
      </c>
      <c r="W19" s="9">
        <v>1394.257502079</v>
      </c>
      <c r="X19" s="9">
        <v>1837.9771364220001</v>
      </c>
      <c r="Y19" s="9">
        <v>378.46667218300001</v>
      </c>
      <c r="Z19" s="9">
        <v>1459.5104642389999</v>
      </c>
      <c r="AA19" s="9">
        <v>1598.607969763</v>
      </c>
      <c r="AB19" s="9">
        <v>378.32756425299999</v>
      </c>
      <c r="AC19" s="9">
        <v>0.13910792999999999</v>
      </c>
      <c r="AD19" s="9">
        <v>402.74352606500003</v>
      </c>
      <c r="AE19" s="9">
        <v>112.933136761</v>
      </c>
      <c r="AF19" s="9">
        <v>46.529841675999997</v>
      </c>
      <c r="AG19" s="9">
        <v>273.68929544899999</v>
      </c>
      <c r="AH19" s="9">
        <v>-224.78295844799999</v>
      </c>
      <c r="AI19" s="9">
        <f>10.565222271-0.508686869</f>
        <v>10.056535402</v>
      </c>
      <c r="AJ19" s="9">
        <v>47.463732374000003</v>
      </c>
      <c r="AK19" s="9" t="s">
        <v>62</v>
      </c>
      <c r="AL19" s="3"/>
      <c r="AM19" s="3"/>
      <c r="AN19" s="10">
        <f t="shared" si="7"/>
        <v>1.6379819189248149E-2</v>
      </c>
      <c r="AO19" s="3" t="s">
        <v>62</v>
      </c>
      <c r="AP19" s="3">
        <v>43</v>
      </c>
      <c r="AQ19" s="3"/>
      <c r="AR19" s="3"/>
      <c r="AS19" s="3"/>
      <c r="AT19" s="3"/>
      <c r="AU19" s="3"/>
      <c r="AV19" s="3"/>
    </row>
    <row r="20" spans="1:48" ht="15.4" x14ac:dyDescent="0.35">
      <c r="A20" s="9" t="s">
        <v>18</v>
      </c>
      <c r="B20" s="3">
        <v>2023</v>
      </c>
      <c r="C20" s="10">
        <f t="shared" si="6"/>
        <v>9.8656783614928419E-4</v>
      </c>
      <c r="D20" s="10">
        <v>0.34710000000000002</v>
      </c>
      <c r="E20" s="10">
        <f>(0.07+4.21)/100</f>
        <v>4.2800000000000005E-2</v>
      </c>
      <c r="F20" s="10">
        <v>0.56520000000000004</v>
      </c>
      <c r="G20" s="3">
        <v>34727465</v>
      </c>
      <c r="H20" s="9">
        <v>53327</v>
      </c>
      <c r="I20" s="9">
        <f t="shared" si="4"/>
        <v>1851911526055</v>
      </c>
      <c r="J20" s="9">
        <v>-86818662500</v>
      </c>
      <c r="K20" s="10">
        <v>4487</v>
      </c>
      <c r="L20" s="9">
        <v>1721.6042581019999</v>
      </c>
      <c r="M20" s="9">
        <v>1719.031822018</v>
      </c>
      <c r="N20" s="9">
        <v>222.45577103599999</v>
      </c>
      <c r="O20" s="9">
        <v>183.33276077799999</v>
      </c>
      <c r="P20" s="9">
        <v>-113.670541095</v>
      </c>
      <c r="Q20" s="9">
        <v>-74.986552020000005</v>
      </c>
      <c r="R20" s="9">
        <f>60.031441997-78.199280798+1346.93124031</f>
        <v>1328.763401509</v>
      </c>
      <c r="S20" s="9">
        <v>13.586549538</v>
      </c>
      <c r="T20" s="9">
        <v>55.758209526000002</v>
      </c>
      <c r="U20" s="9">
        <f>W20-V20-165.396272202</f>
        <v>109.46831681900002</v>
      </c>
      <c r="V20" s="9">
        <v>1249.932692894</v>
      </c>
      <c r="W20" s="9">
        <v>1524.797281915</v>
      </c>
      <c r="X20" s="9">
        <v>1849.1656321400001</v>
      </c>
      <c r="Y20" s="9">
        <v>328.65244847600002</v>
      </c>
      <c r="Z20" s="9">
        <v>1520.5131836640001</v>
      </c>
      <c r="AA20" s="9">
        <v>1671.464174229</v>
      </c>
      <c r="AB20" s="9">
        <v>328.27074054600001</v>
      </c>
      <c r="AC20" s="9">
        <v>0.38170792999999997</v>
      </c>
      <c r="AD20" s="9">
        <v>358.68131855399997</v>
      </c>
      <c r="AE20" s="9">
        <v>103.849602152</v>
      </c>
      <c r="AF20" s="9">
        <v>45.696496541000002</v>
      </c>
      <c r="AG20" s="9">
        <v>148.912542935</v>
      </c>
      <c r="AH20" s="9">
        <v>4.8019069229999998</v>
      </c>
      <c r="AI20" s="9">
        <v>7.3012571709999996</v>
      </c>
      <c r="AJ20" s="9">
        <v>114.331614042</v>
      </c>
      <c r="AK20" s="9" t="s">
        <v>62</v>
      </c>
      <c r="AL20" s="3"/>
      <c r="AM20" s="3"/>
      <c r="AN20" s="10">
        <f t="shared" si="7"/>
        <v>8.0393059890555091E-2</v>
      </c>
      <c r="AO20" s="3" t="s">
        <v>62</v>
      </c>
      <c r="AP20" s="3">
        <v>44</v>
      </c>
      <c r="AQ20" s="3"/>
      <c r="AR20" s="3"/>
      <c r="AS20" s="3"/>
      <c r="AT20" s="3"/>
      <c r="AU20" s="3"/>
      <c r="AV20" s="3"/>
    </row>
    <row r="21" spans="1:48" ht="15.4" x14ac:dyDescent="0.35">
      <c r="A21" s="9" t="s">
        <v>18</v>
      </c>
      <c r="B21" s="2">
        <v>2024</v>
      </c>
      <c r="C21" s="10">
        <f t="shared" si="6"/>
        <v>9.8656783614928419E-4</v>
      </c>
      <c r="D21" s="10">
        <v>0.35</v>
      </c>
      <c r="E21" s="10">
        <v>0.91</v>
      </c>
      <c r="F21" s="10">
        <v>0.56999999999999995</v>
      </c>
      <c r="G21" s="3">
        <v>34727465</v>
      </c>
      <c r="H21" s="9">
        <v>66362</v>
      </c>
      <c r="I21" s="9">
        <f t="shared" si="4"/>
        <v>2304584032330</v>
      </c>
      <c r="J21" s="9">
        <v>-86818662500</v>
      </c>
      <c r="K21" s="10">
        <v>4962</v>
      </c>
      <c r="L21" s="9">
        <v>1903.7502692170001</v>
      </c>
      <c r="M21" s="9">
        <v>1899.4268722209999</v>
      </c>
      <c r="N21" s="9">
        <v>249.58699579699999</v>
      </c>
      <c r="O21" s="9">
        <v>202.70665760099999</v>
      </c>
      <c r="P21" s="9">
        <v>-113.723949053</v>
      </c>
      <c r="Q21" s="9">
        <v>-77.727968859000001</v>
      </c>
      <c r="R21" s="9">
        <f>1481.946549656+81.439263943-60.031441997</f>
        <v>1503.3543716019999</v>
      </c>
      <c r="S21" s="9">
        <v>32.859122796000001</v>
      </c>
      <c r="T21" s="9">
        <v>56.726004043000003</v>
      </c>
      <c r="U21" s="9">
        <f>W21-V21-157.95713559</f>
        <v>115.95132289699995</v>
      </c>
      <c r="V21" s="9">
        <v>1466.9328291419999</v>
      </c>
      <c r="W21" s="9">
        <v>1740.8412876289999</v>
      </c>
      <c r="X21" s="9">
        <v>1840.613593755</v>
      </c>
      <c r="Y21" s="9">
        <v>228.045691068</v>
      </c>
      <c r="Z21" s="9">
        <v>1612.567902687</v>
      </c>
      <c r="AA21" s="9">
        <v>1527.2519361520001</v>
      </c>
      <c r="AB21" s="9">
        <v>227.584641038</v>
      </c>
      <c r="AC21" s="9">
        <v>0.46105003</v>
      </c>
      <c r="AD21" s="9">
        <v>494.18729405200003</v>
      </c>
      <c r="AE21" s="9">
        <v>104.182766664</v>
      </c>
      <c r="AF21" s="9">
        <v>53.471707010000003</v>
      </c>
      <c r="AG21" s="9">
        <v>15.68698054</v>
      </c>
      <c r="AH21" s="9">
        <v>86.534104353999993</v>
      </c>
      <c r="AI21" s="9">
        <f>41.612015611-0.252818182</f>
        <v>41.359197428999998</v>
      </c>
      <c r="AJ21" s="9">
        <v>129.73229006700001</v>
      </c>
      <c r="AK21" s="9" t="s">
        <v>62</v>
      </c>
      <c r="AL21" s="3"/>
      <c r="AM21" s="3"/>
      <c r="AN21" s="10">
        <f t="shared" si="7"/>
        <v>0.10580016299205075</v>
      </c>
      <c r="AO21" s="3" t="s">
        <v>62</v>
      </c>
      <c r="AP21" s="3">
        <v>45</v>
      </c>
      <c r="AQ21" s="3"/>
      <c r="AR21" s="3"/>
      <c r="AS21" s="3"/>
      <c r="AT21" s="3"/>
      <c r="AU21" s="3"/>
      <c r="AV21" s="3"/>
    </row>
    <row r="22" spans="1:48" ht="15.4" x14ac:dyDescent="0.35">
      <c r="A22" s="9" t="s">
        <v>4</v>
      </c>
      <c r="B22" s="2">
        <v>2020</v>
      </c>
      <c r="C22" s="10">
        <f>(7174041+2985340+2834795+2599095+1119699+470682+49335+153516+4413+31824)/G22</f>
        <v>0.38717363473312444</v>
      </c>
      <c r="D22" s="10">
        <v>0</v>
      </c>
      <c r="E22" s="10">
        <f>3.47/100</f>
        <v>3.4700000000000002E-2</v>
      </c>
      <c r="F22" s="10">
        <f>0.12/100</f>
        <v>1.1999999999999999E-3</v>
      </c>
      <c r="G22" s="3">
        <v>44999810</v>
      </c>
      <c r="H22" s="9">
        <v>12873</v>
      </c>
      <c r="I22" s="9">
        <f t="shared" si="4"/>
        <v>579282554130</v>
      </c>
      <c r="J22" s="9">
        <v>-43499810000</v>
      </c>
      <c r="K22" s="10">
        <v>4392</v>
      </c>
      <c r="L22" s="9">
        <v>2118.3355402070001</v>
      </c>
      <c r="M22" s="9">
        <v>2118.3355402070001</v>
      </c>
      <c r="N22" s="9">
        <v>287.46052026299998</v>
      </c>
      <c r="O22" s="9">
        <v>235.94590814099999</v>
      </c>
      <c r="P22" s="9">
        <v>72.074897906000004</v>
      </c>
      <c r="Q22" s="9">
        <v>61.283495658</v>
      </c>
      <c r="R22" s="9">
        <f>101.961441888-759.678703629+1524.079432151</f>
        <v>866.36217040999998</v>
      </c>
      <c r="S22" s="9">
        <v>331.67859838800001</v>
      </c>
      <c r="T22" s="9">
        <v>896.62797418299999</v>
      </c>
      <c r="U22" s="9">
        <f>W22-V22-120.893422342</f>
        <v>1386.4406140010001</v>
      </c>
      <c r="V22" s="9">
        <v>516.49191206399996</v>
      </c>
      <c r="W22" s="9">
        <v>2023.8259484069999</v>
      </c>
      <c r="X22" s="9">
        <v>4820.4374279490003</v>
      </c>
      <c r="Y22" s="9">
        <v>3414.1039525649999</v>
      </c>
      <c r="Z22" s="9">
        <v>1406.3334753839999</v>
      </c>
      <c r="AA22" s="9">
        <v>1738.80820221</v>
      </c>
      <c r="AB22" s="9">
        <v>1862.846381132</v>
      </c>
      <c r="AC22" s="9">
        <v>1551.2575714330001</v>
      </c>
      <c r="AD22" s="9">
        <v>434.230783094</v>
      </c>
      <c r="AE22" s="9">
        <v>2239.8779716419999</v>
      </c>
      <c r="AF22" s="9">
        <v>1.2329382149999999</v>
      </c>
      <c r="AG22" s="9">
        <v>123.19967269599999</v>
      </c>
      <c r="AH22" s="9">
        <v>-19.566360405000001</v>
      </c>
      <c r="AI22" s="9">
        <f>46.000922013-0.277909091</f>
        <v>45.723012922000002</v>
      </c>
      <c r="AJ22" s="9">
        <v>691.64793408699995</v>
      </c>
      <c r="AK22" s="9" t="s">
        <v>62</v>
      </c>
      <c r="AL22" s="3"/>
      <c r="AM22" s="3"/>
      <c r="AN22" s="10">
        <f>(L22-1973.182830498)/1973.182830498</f>
        <v>7.356272691282538E-2</v>
      </c>
      <c r="AO22" s="3">
        <v>370</v>
      </c>
      <c r="AP22" s="3">
        <v>19</v>
      </c>
      <c r="AQ22" s="3"/>
      <c r="AR22" s="3"/>
      <c r="AS22" s="3"/>
      <c r="AT22" s="3"/>
      <c r="AU22" s="3"/>
      <c r="AV22" s="3"/>
    </row>
    <row r="23" spans="1:48" ht="15.4" x14ac:dyDescent="0.35">
      <c r="A23" s="9" t="s">
        <v>4</v>
      </c>
      <c r="B23" s="3">
        <v>2021</v>
      </c>
      <c r="C23" s="10">
        <f>(10043657+4179476+3706213+3638733+434154+69069+214922+3598+33)/G23</f>
        <v>0.3538097269704481</v>
      </c>
      <c r="D23" s="10">
        <v>0</v>
      </c>
      <c r="E23" s="10">
        <f>1.7/100</f>
        <v>1.7000000000000001E-2</v>
      </c>
      <c r="F23" s="10">
        <f>0.64/100</f>
        <v>6.4000000000000003E-3</v>
      </c>
      <c r="G23" s="3">
        <v>62999554</v>
      </c>
      <c r="H23" s="9">
        <v>43244</v>
      </c>
      <c r="I23" s="9">
        <f t="shared" si="4"/>
        <v>2724352713176</v>
      </c>
      <c r="J23" s="9">
        <v>-59698210000</v>
      </c>
      <c r="K23" s="10">
        <v>5438</v>
      </c>
      <c r="L23" s="9">
        <v>2545.4557364940001</v>
      </c>
      <c r="M23" s="9">
        <v>2545.4557364940001</v>
      </c>
      <c r="N23" s="9">
        <v>503.84678518099997</v>
      </c>
      <c r="O23" s="9">
        <v>449.126616668</v>
      </c>
      <c r="P23" s="9">
        <v>166.689469264</v>
      </c>
      <c r="Q23" s="9">
        <v>61.926549088000002</v>
      </c>
      <c r="R23" s="9">
        <f>74.388504012-101.961441888+1670.366356209</f>
        <v>1642.7934183330001</v>
      </c>
      <c r="S23" s="9">
        <v>482.29202908000002</v>
      </c>
      <c r="T23" s="9">
        <v>981.21107325499997</v>
      </c>
      <c r="U23" s="9">
        <f>W23-V22-145.954085289</f>
        <v>1427.6561299990001</v>
      </c>
      <c r="V23" s="9">
        <v>762.33532294600002</v>
      </c>
      <c r="W23" s="9">
        <v>2090.102127352</v>
      </c>
      <c r="X23" s="9">
        <v>5950.7250757029997</v>
      </c>
      <c r="Y23" s="9">
        <v>4168.8801836889998</v>
      </c>
      <c r="Z23" s="9">
        <v>1781.8448920139999</v>
      </c>
      <c r="AA23" s="9">
        <v>2628.7730508549998</v>
      </c>
      <c r="AB23" s="9">
        <v>2432.374845116</v>
      </c>
      <c r="AC23" s="9">
        <v>1736.505338573</v>
      </c>
      <c r="AD23" s="9">
        <v>557.20722049799997</v>
      </c>
      <c r="AE23" s="9">
        <v>2426.7492311599999</v>
      </c>
      <c r="AF23" s="9">
        <v>0.87068703599999997</v>
      </c>
      <c r="AG23" s="9">
        <v>733.42724699500002</v>
      </c>
      <c r="AH23" s="9">
        <v>-615.73448596399999</v>
      </c>
      <c r="AI23" s="9">
        <f>307.514064533-11.658769999</f>
        <v>295.855294534</v>
      </c>
      <c r="AJ23" s="9">
        <v>1046.136113643</v>
      </c>
      <c r="AK23" s="9" t="s">
        <v>62</v>
      </c>
      <c r="AL23" s="3"/>
      <c r="AM23" s="3"/>
      <c r="AN23" s="10">
        <f t="shared" ref="AN23:AN51" si="8">(L23-L22)/L22</f>
        <v>0.20163009503454893</v>
      </c>
      <c r="AO23" s="3">
        <v>410</v>
      </c>
      <c r="AP23" s="3">
        <v>20</v>
      </c>
      <c r="AQ23" s="3"/>
      <c r="AR23" s="3"/>
      <c r="AS23" s="3"/>
      <c r="AT23" s="3"/>
      <c r="AU23" s="3"/>
      <c r="AV23" s="3"/>
    </row>
    <row r="24" spans="1:48" ht="15.4" x14ac:dyDescent="0.35">
      <c r="A24" s="9" t="s">
        <v>4</v>
      </c>
      <c r="B24" s="2">
        <v>2022</v>
      </c>
      <c r="C24" s="10">
        <f>(10043657+4179476+3638733+69069+214922+212466+8973+3398+33)/G24</f>
        <v>0.29160090561910962</v>
      </c>
      <c r="D24" s="10">
        <v>0</v>
      </c>
      <c r="E24" s="10">
        <v>1.7399999999999999E-2</v>
      </c>
      <c r="F24" s="10">
        <f>0.57/100</f>
        <v>5.6999999999999993E-3</v>
      </c>
      <c r="G24" s="3">
        <v>62999554</v>
      </c>
      <c r="H24" s="9">
        <v>16748</v>
      </c>
      <c r="I24" s="9">
        <f t="shared" si="4"/>
        <v>1055116530392</v>
      </c>
      <c r="J24" s="9">
        <v>-85047154000</v>
      </c>
      <c r="K24" s="10">
        <v>6047</v>
      </c>
      <c r="L24" s="9">
        <v>3319.4772492359998</v>
      </c>
      <c r="M24" s="9">
        <v>3319.4772492359998</v>
      </c>
      <c r="N24" s="9">
        <v>584.96656278900002</v>
      </c>
      <c r="O24" s="9">
        <v>519.31273027999998</v>
      </c>
      <c r="P24" s="9">
        <v>99.951682011000003</v>
      </c>
      <c r="Q24" s="9">
        <v>90.496134744000003</v>
      </c>
      <c r="R24" s="9">
        <f>1.692640004+2398.467125688</f>
        <v>2400.1597656920003</v>
      </c>
      <c r="S24" s="9">
        <f>186.789353564+837.754934376</f>
        <v>1024.54428794</v>
      </c>
      <c r="T24" s="9">
        <v>872.97786588300005</v>
      </c>
      <c r="U24" s="9">
        <f>W24-V24-182.7970891</f>
        <v>1091.7956936770001</v>
      </c>
      <c r="V24" s="9">
        <v>1239.6244638349999</v>
      </c>
      <c r="W24" s="9">
        <v>2514.2172466120001</v>
      </c>
      <c r="X24" s="9">
        <v>6138.9853811510002</v>
      </c>
      <c r="Y24" s="9">
        <v>3932.174610604</v>
      </c>
      <c r="Z24" s="9">
        <v>2206.8107705470002</v>
      </c>
      <c r="AA24" s="9">
        <v>3292.8706764029998</v>
      </c>
      <c r="AB24" s="9">
        <v>2218.9155955020001</v>
      </c>
      <c r="AC24" s="9">
        <v>1713.2590151019999</v>
      </c>
      <c r="AD24" s="9">
        <v>1092.484687465</v>
      </c>
      <c r="AE24" s="9">
        <v>2419.691445338</v>
      </c>
      <c r="AF24" s="9">
        <v>1.905852248</v>
      </c>
      <c r="AG24" s="9">
        <v>332.53323083399999</v>
      </c>
      <c r="AH24" s="9">
        <v>-80.817770194999994</v>
      </c>
      <c r="AI24" s="9">
        <f>241.930598199-4.253871177</f>
        <v>237.67672702199999</v>
      </c>
      <c r="AJ24" s="9">
        <v>1171.279077469</v>
      </c>
      <c r="AK24" s="9" t="s">
        <v>62</v>
      </c>
      <c r="AL24" s="3"/>
      <c r="AM24" s="3"/>
      <c r="AN24" s="10">
        <f t="shared" si="8"/>
        <v>0.30407973772433505</v>
      </c>
      <c r="AO24" s="3">
        <v>187</v>
      </c>
      <c r="AP24" s="3">
        <v>21</v>
      </c>
      <c r="AQ24" s="3"/>
      <c r="AR24" s="3"/>
      <c r="AS24" s="3"/>
      <c r="AT24" s="3"/>
      <c r="AU24" s="3"/>
      <c r="AV24" s="3"/>
    </row>
    <row r="25" spans="1:48" ht="15.4" x14ac:dyDescent="0.35">
      <c r="A25" s="9" t="s">
        <v>4</v>
      </c>
      <c r="B25" s="3">
        <v>2023</v>
      </c>
      <c r="C25" s="10">
        <f>(10043657+4179476+3638733+100+69069+214922+212466+8973+3398+24633)/G25</f>
        <v>0.29199297188675338</v>
      </c>
      <c r="D25" s="10">
        <v>0</v>
      </c>
      <c r="E25" s="10">
        <v>3.39E-2</v>
      </c>
      <c r="F25" s="10">
        <v>1.3599999999999999E-2</v>
      </c>
      <c r="G25" s="3">
        <v>62999554</v>
      </c>
      <c r="H25" s="9">
        <v>23994</v>
      </c>
      <c r="I25" s="9">
        <f t="shared" si="4"/>
        <v>1511611298676</v>
      </c>
      <c r="J25" s="9">
        <v>-146981354000</v>
      </c>
      <c r="K25" s="10">
        <v>3223</v>
      </c>
      <c r="L25" s="9">
        <v>3450.1395735390001</v>
      </c>
      <c r="M25" s="9">
        <v>3450.1395735390001</v>
      </c>
      <c r="N25" s="9">
        <v>317.77964427199998</v>
      </c>
      <c r="O25" s="9">
        <v>282.686723503</v>
      </c>
      <c r="P25" s="9">
        <v>9.8317596649999999</v>
      </c>
      <c r="Q25" s="9">
        <v>84.716421625999999</v>
      </c>
      <c r="R25" s="9">
        <f>-0.13141503+2865.19333327</f>
        <v>2865.0619182400001</v>
      </c>
      <c r="S25" s="9">
        <f>202.414761349+887.130071239</f>
        <v>1089.544832588</v>
      </c>
      <c r="T25" s="9">
        <v>1171.3946055419999</v>
      </c>
      <c r="U25" s="9">
        <f>W25-V25-200.787009952</f>
        <v>1331.4777048970002</v>
      </c>
      <c r="V25" s="9">
        <v>1484.9878501109999</v>
      </c>
      <c r="W25" s="9">
        <v>3017.2525649600002</v>
      </c>
      <c r="X25" s="9">
        <v>6689.4509217249997</v>
      </c>
      <c r="Y25" s="9">
        <v>4339.5850493950002</v>
      </c>
      <c r="Z25" s="9">
        <v>2349.86587233</v>
      </c>
      <c r="AA25" s="9">
        <v>3768.0103088139999</v>
      </c>
      <c r="AB25" s="9">
        <v>2879.7509391029998</v>
      </c>
      <c r="AC25" s="9">
        <v>1459.8341102920001</v>
      </c>
      <c r="AD25" s="9">
        <v>1144.7252583459999</v>
      </c>
      <c r="AE25" s="9">
        <v>2317.6133508369999</v>
      </c>
      <c r="AF25" s="9">
        <v>5.926910458</v>
      </c>
      <c r="AG25" s="9">
        <v>607.90295818000004</v>
      </c>
      <c r="AH25" s="9">
        <v>-77.009378376000001</v>
      </c>
      <c r="AI25" s="9">
        <f>134.298476708-0.646127946</f>
        <v>133.652348762</v>
      </c>
      <c r="AJ25" s="9">
        <v>1432.0805085290001</v>
      </c>
      <c r="AK25" s="9" t="s">
        <v>62</v>
      </c>
      <c r="AL25" s="3"/>
      <c r="AM25" s="3"/>
      <c r="AN25" s="10">
        <f t="shared" si="8"/>
        <v>3.9362319573985075E-2</v>
      </c>
      <c r="AO25" s="3">
        <v>178</v>
      </c>
      <c r="AP25" s="3">
        <v>22</v>
      </c>
      <c r="AQ25" s="3"/>
      <c r="AR25" s="3"/>
      <c r="AS25" s="3"/>
      <c r="AT25" s="3"/>
      <c r="AU25" s="3"/>
      <c r="AV25" s="3"/>
    </row>
    <row r="26" spans="1:48" ht="15.4" x14ac:dyDescent="0.35">
      <c r="A26" s="9" t="s">
        <v>4</v>
      </c>
      <c r="B26" s="2">
        <v>2024</v>
      </c>
      <c r="C26" s="10">
        <f>(10043657+4179476+3638733+214922+212466+8973+4698+33)/G26</f>
        <v>0.29052519959109552</v>
      </c>
      <c r="D26" s="10">
        <v>0</v>
      </c>
      <c r="E26" s="10">
        <v>9.7500000000000003E-2</v>
      </c>
      <c r="F26" s="10">
        <v>7.2999999999999995E-2</v>
      </c>
      <c r="G26" s="3">
        <v>62999554</v>
      </c>
      <c r="H26" s="9">
        <v>28321</v>
      </c>
      <c r="I26" s="9">
        <f t="shared" si="4"/>
        <v>1784210368834</v>
      </c>
      <c r="J26" s="9">
        <v>-120112204000</v>
      </c>
      <c r="K26" s="10">
        <v>3553</v>
      </c>
      <c r="L26" s="9">
        <v>3577.535172372</v>
      </c>
      <c r="M26" s="9">
        <v>3577.535172372</v>
      </c>
      <c r="N26" s="9">
        <v>353.932376154</v>
      </c>
      <c r="O26" s="9">
        <v>304.09516144299999</v>
      </c>
      <c r="P26" s="9">
        <v>1.728069412</v>
      </c>
      <c r="Q26" s="9">
        <v>95.198383106999998</v>
      </c>
      <c r="R26" s="9">
        <f>3030.788007008</f>
        <v>3030.788007008</v>
      </c>
      <c r="S26" s="9">
        <f>220.666924704+944.822823803</f>
        <v>1165.4897485070001</v>
      </c>
      <c r="T26" s="9">
        <v>1545.153606606</v>
      </c>
      <c r="U26" s="9">
        <f>W26-V26-217.485458004</f>
        <v>1719.0151847069999</v>
      </c>
      <c r="V26" s="9">
        <v>1268.342619753</v>
      </c>
      <c r="W26" s="9">
        <v>3204.843262464</v>
      </c>
      <c r="X26" s="9">
        <v>6418.5948681319996</v>
      </c>
      <c r="Y26" s="9">
        <v>3806.0580337400002</v>
      </c>
      <c r="Z26" s="9">
        <v>2612.5368343919999</v>
      </c>
      <c r="AA26" s="9">
        <v>3527.394763967</v>
      </c>
      <c r="AB26" s="9">
        <v>2481.4474889070002</v>
      </c>
      <c r="AC26" s="9">
        <v>1324.6105448329999</v>
      </c>
      <c r="AD26" s="9">
        <v>1222.2418206249999</v>
      </c>
      <c r="AE26" s="9">
        <v>2156.5742039649999</v>
      </c>
      <c r="AF26" s="9">
        <v>42.937714853999999</v>
      </c>
      <c r="AG26" s="9">
        <v>-287.22305657800001</v>
      </c>
      <c r="AH26" s="9">
        <v>62.770660546000002</v>
      </c>
      <c r="AI26" s="9">
        <f>76.735902438-0.133252322</f>
        <v>76.602650115999992</v>
      </c>
      <c r="AJ26" s="9">
        <v>1016.565558779</v>
      </c>
      <c r="AK26" s="9" t="s">
        <v>62</v>
      </c>
      <c r="AL26" s="3"/>
      <c r="AM26" s="3"/>
      <c r="AN26" s="10">
        <f t="shared" si="8"/>
        <v>3.6924766699314465E-2</v>
      </c>
      <c r="AO26" s="3">
        <v>181</v>
      </c>
      <c r="AP26" s="3">
        <v>23</v>
      </c>
      <c r="AQ26" s="3"/>
      <c r="AR26" s="3"/>
      <c r="AS26" s="3"/>
      <c r="AT26" s="3"/>
      <c r="AU26" s="3"/>
      <c r="AV26" s="3"/>
    </row>
    <row r="27" spans="1:48" ht="15.4" x14ac:dyDescent="0.35">
      <c r="A27" s="9" t="s">
        <v>13</v>
      </c>
      <c r="B27" s="2">
        <v>2020</v>
      </c>
      <c r="C27" s="10">
        <v>0.1963</v>
      </c>
      <c r="D27" s="10">
        <v>0</v>
      </c>
      <c r="E27" s="10">
        <v>0.1196</v>
      </c>
      <c r="F27" s="10">
        <v>2.6599999999999999E-2</v>
      </c>
      <c r="G27" s="3">
        <v>27558066</v>
      </c>
      <c r="H27" s="9">
        <v>10000</v>
      </c>
      <c r="I27" s="9">
        <f t="shared" si="4"/>
        <v>275580660000</v>
      </c>
      <c r="J27" s="9">
        <v>0</v>
      </c>
      <c r="K27" s="10">
        <v>574</v>
      </c>
      <c r="L27" s="9">
        <v>946.47</v>
      </c>
      <c r="M27" s="9">
        <v>940.22</v>
      </c>
      <c r="N27" s="9">
        <v>16.260000000000002</v>
      </c>
      <c r="O27" s="9">
        <v>18.260000000000002</v>
      </c>
      <c r="P27" s="9">
        <v>156.15</v>
      </c>
      <c r="Q27" s="9">
        <v>82.54</v>
      </c>
      <c r="R27" s="9">
        <v>589.84</v>
      </c>
      <c r="S27" s="9">
        <v>62</v>
      </c>
      <c r="T27" s="9">
        <v>169.46</v>
      </c>
      <c r="U27" s="9">
        <v>17.11</v>
      </c>
      <c r="V27" s="9">
        <v>427.69</v>
      </c>
      <c r="W27" s="9">
        <v>844.04</v>
      </c>
      <c r="X27" s="9">
        <v>1409.6479999999999</v>
      </c>
      <c r="Y27" s="9">
        <v>486.46100000000001</v>
      </c>
      <c r="Z27" s="9">
        <v>923.19</v>
      </c>
      <c r="AA27" s="9">
        <v>930.83</v>
      </c>
      <c r="AB27" s="9">
        <v>432.76</v>
      </c>
      <c r="AC27" s="9">
        <v>53.7</v>
      </c>
      <c r="AD27" s="9">
        <v>305.74</v>
      </c>
      <c r="AE27" s="9">
        <v>290.3</v>
      </c>
      <c r="AF27" s="9">
        <v>90.418000000000006</v>
      </c>
      <c r="AG27" s="9">
        <v>48.92</v>
      </c>
      <c r="AH27" s="9">
        <v>-58.55</v>
      </c>
      <c r="AI27" s="9">
        <v>118.95399999999999</v>
      </c>
      <c r="AJ27" s="9">
        <v>112.89</v>
      </c>
      <c r="AK27" s="9" t="s">
        <v>62</v>
      </c>
      <c r="AL27" s="3">
        <v>1</v>
      </c>
      <c r="AM27" s="3">
        <v>1</v>
      </c>
      <c r="AN27" s="10">
        <f t="shared" si="8"/>
        <v>-0.73544075616384075</v>
      </c>
      <c r="AO27" s="3">
        <v>1136</v>
      </c>
      <c r="AP27" s="3">
        <v>48</v>
      </c>
      <c r="AQ27" s="3"/>
      <c r="AR27" s="3"/>
      <c r="AS27" s="3"/>
      <c r="AT27" s="3"/>
      <c r="AU27" s="3"/>
      <c r="AV27" s="3"/>
    </row>
    <row r="28" spans="1:48" ht="15.4" x14ac:dyDescent="0.35">
      <c r="A28" s="9" t="s">
        <v>13</v>
      </c>
      <c r="B28" s="3">
        <v>2021</v>
      </c>
      <c r="C28" s="10"/>
      <c r="D28" s="10">
        <v>0</v>
      </c>
      <c r="E28" s="10">
        <v>0.1196</v>
      </c>
      <c r="F28" s="10">
        <v>2.6599999999999999E-2</v>
      </c>
      <c r="G28" s="3">
        <v>27558066</v>
      </c>
      <c r="H28" s="9">
        <v>10000</v>
      </c>
      <c r="I28" s="9">
        <f t="shared" si="4"/>
        <v>275580660000</v>
      </c>
      <c r="J28" s="9">
        <v>0</v>
      </c>
      <c r="K28" s="10">
        <v>787</v>
      </c>
      <c r="L28" s="9">
        <v>749.31</v>
      </c>
      <c r="M28" s="9">
        <v>733.83</v>
      </c>
      <c r="N28" s="9">
        <v>24.64</v>
      </c>
      <c r="O28" s="9">
        <v>22.75</v>
      </c>
      <c r="P28" s="9">
        <v>144.75</v>
      </c>
      <c r="Q28" s="9">
        <v>94.751000000000005</v>
      </c>
      <c r="R28" s="9">
        <v>495.339</v>
      </c>
      <c r="S28" s="9">
        <v>57.37</v>
      </c>
      <c r="T28" s="9">
        <v>52.88</v>
      </c>
      <c r="U28" s="9">
        <v>29.047000000000001</v>
      </c>
      <c r="V28" s="9">
        <v>401.85</v>
      </c>
      <c r="W28" s="9">
        <v>689.23</v>
      </c>
      <c r="X28" s="9">
        <v>1410.15</v>
      </c>
      <c r="Y28" s="9">
        <v>465.72</v>
      </c>
      <c r="Z28" s="9">
        <v>944.43</v>
      </c>
      <c r="AA28" s="9">
        <v>914.89</v>
      </c>
      <c r="AB28" s="9">
        <v>413.88</v>
      </c>
      <c r="AC28" s="9">
        <v>51.83</v>
      </c>
      <c r="AD28" s="9">
        <v>372.4</v>
      </c>
      <c r="AE28" s="9">
        <v>268.55</v>
      </c>
      <c r="AF28" s="9">
        <v>89.81</v>
      </c>
      <c r="AG28" s="9">
        <v>35.979999999999997</v>
      </c>
      <c r="AH28" s="9">
        <v>-47.5</v>
      </c>
      <c r="AI28" s="9">
        <v>30.94</v>
      </c>
      <c r="AJ28" s="9">
        <v>56.51</v>
      </c>
      <c r="AK28" s="9" t="s">
        <v>62</v>
      </c>
      <c r="AL28" s="3">
        <v>1</v>
      </c>
      <c r="AM28" s="3">
        <v>1</v>
      </c>
      <c r="AN28" s="10">
        <f t="shared" si="8"/>
        <v>-0.2083108814859426</v>
      </c>
      <c r="AO28" s="3">
        <v>1085</v>
      </c>
      <c r="AP28" s="3">
        <v>49</v>
      </c>
      <c r="AQ28" s="3"/>
      <c r="AR28" s="3"/>
      <c r="AS28" s="3"/>
      <c r="AT28" s="3"/>
      <c r="AU28" s="3"/>
      <c r="AV28" s="3"/>
    </row>
    <row r="29" spans="1:48" ht="15.4" x14ac:dyDescent="0.35">
      <c r="A29" s="9" t="s">
        <v>13</v>
      </c>
      <c r="B29" s="2">
        <v>2022</v>
      </c>
      <c r="C29" s="10">
        <v>0.19594149999999999</v>
      </c>
      <c r="D29" s="10">
        <v>0</v>
      </c>
      <c r="E29" s="10">
        <v>7.3700000000000002E-2</v>
      </c>
      <c r="F29" s="10">
        <v>9.4999999999999998E-3</v>
      </c>
      <c r="G29" s="3">
        <v>27558066</v>
      </c>
      <c r="H29" s="9">
        <v>10000</v>
      </c>
      <c r="I29" s="9">
        <f t="shared" si="4"/>
        <v>275580660000</v>
      </c>
      <c r="J29" s="9">
        <v>275580660000</v>
      </c>
      <c r="K29" s="10">
        <v>499</v>
      </c>
      <c r="L29" s="9">
        <v>1001.21</v>
      </c>
      <c r="M29" s="9">
        <v>989.64</v>
      </c>
      <c r="N29" s="9">
        <v>13.91</v>
      </c>
      <c r="O29" s="9">
        <v>14.85</v>
      </c>
      <c r="P29" s="9">
        <v>198.47</v>
      </c>
      <c r="Q29" s="9">
        <v>81.248000000000005</v>
      </c>
      <c r="R29" s="9">
        <v>699.81</v>
      </c>
      <c r="S29" s="9">
        <v>51.35</v>
      </c>
      <c r="T29" s="9">
        <v>76.402000000000001</v>
      </c>
      <c r="U29" s="9">
        <v>29.96</v>
      </c>
      <c r="V29" s="9">
        <v>551.95000000000005</v>
      </c>
      <c r="W29" s="9">
        <v>935.27499999999998</v>
      </c>
      <c r="X29" s="9">
        <v>1444.06</v>
      </c>
      <c r="Y29" s="9">
        <v>551.12900000000002</v>
      </c>
      <c r="Z29" s="9">
        <v>933.96</v>
      </c>
      <c r="AA29" s="9">
        <v>1012.02</v>
      </c>
      <c r="AB29" s="9">
        <v>529.02</v>
      </c>
      <c r="AC29" s="9">
        <v>32.11</v>
      </c>
      <c r="AD29" s="9">
        <v>462.43</v>
      </c>
      <c r="AE29" s="9">
        <v>244.28100000000001</v>
      </c>
      <c r="AF29" s="9">
        <v>93.149000000000001</v>
      </c>
      <c r="AG29" s="9">
        <v>80.83</v>
      </c>
      <c r="AH29" s="9">
        <v>-4.79</v>
      </c>
      <c r="AI29" s="9">
        <v>5.07</v>
      </c>
      <c r="AJ29" s="9">
        <v>20.36</v>
      </c>
      <c r="AK29" s="9" t="s">
        <v>62</v>
      </c>
      <c r="AL29" s="3">
        <v>1</v>
      </c>
      <c r="AM29" s="3">
        <v>1</v>
      </c>
      <c r="AN29" s="10">
        <f t="shared" si="8"/>
        <v>0.33617594853932298</v>
      </c>
      <c r="AO29" s="3">
        <v>1177</v>
      </c>
      <c r="AP29" s="3">
        <v>50</v>
      </c>
      <c r="AQ29" s="3"/>
      <c r="AR29" s="3"/>
      <c r="AS29" s="3"/>
      <c r="AT29" s="3"/>
      <c r="AU29" s="3"/>
      <c r="AV29" s="3"/>
    </row>
    <row r="30" spans="1:48" ht="15.4" x14ac:dyDescent="0.35">
      <c r="A30" s="9" t="s">
        <v>13</v>
      </c>
      <c r="B30" s="3">
        <v>2023</v>
      </c>
      <c r="C30" s="10">
        <v>0.19525790000000001</v>
      </c>
      <c r="D30" s="10">
        <v>0</v>
      </c>
      <c r="E30" s="10">
        <v>8.6499999999999994E-2</v>
      </c>
      <c r="F30" s="10">
        <v>7.4000000000000003E-3</v>
      </c>
      <c r="G30" s="3">
        <v>27558066</v>
      </c>
      <c r="H30" s="9">
        <v>10000</v>
      </c>
      <c r="I30" s="9">
        <f t="shared" si="4"/>
        <v>275580660000</v>
      </c>
      <c r="J30" s="9">
        <v>0</v>
      </c>
      <c r="K30" s="10">
        <v>-1248</v>
      </c>
      <c r="L30" s="9">
        <v>871.69</v>
      </c>
      <c r="M30" s="9">
        <v>859.02</v>
      </c>
      <c r="N30" s="9">
        <v>36.61</v>
      </c>
      <c r="O30" s="9">
        <v>33.409999999999997</v>
      </c>
      <c r="P30" s="9">
        <v>203.27099999999999</v>
      </c>
      <c r="Q30" s="9">
        <v>103.628</v>
      </c>
      <c r="R30" s="9">
        <v>516.6</v>
      </c>
      <c r="S30" s="9">
        <v>43.000999999999998</v>
      </c>
      <c r="T30" s="9">
        <v>56.668999999999997</v>
      </c>
      <c r="U30" s="9" t="s">
        <v>63</v>
      </c>
      <c r="V30" s="9">
        <v>414.22699999999998</v>
      </c>
      <c r="W30" s="9">
        <v>833.89099999999996</v>
      </c>
      <c r="X30" s="9">
        <v>1485.08</v>
      </c>
      <c r="Y30" s="9">
        <v>543.51499999999999</v>
      </c>
      <c r="Z30" s="9">
        <v>900.54</v>
      </c>
      <c r="AA30" s="9">
        <v>998.36</v>
      </c>
      <c r="AB30" s="9">
        <v>533.80999999999995</v>
      </c>
      <c r="AC30" s="9">
        <v>9.6999999999999993</v>
      </c>
      <c r="AD30" s="9">
        <v>340.11</v>
      </c>
      <c r="AE30" s="9">
        <v>239.83099999999999</v>
      </c>
      <c r="AF30" s="9">
        <v>91.924000000000007</v>
      </c>
      <c r="AG30" s="9">
        <v>27.09</v>
      </c>
      <c r="AH30" s="9">
        <v>-8.48</v>
      </c>
      <c r="AI30" s="9">
        <v>-2.59</v>
      </c>
      <c r="AJ30" s="9">
        <v>22.59</v>
      </c>
      <c r="AK30" s="9" t="s">
        <v>62</v>
      </c>
      <c r="AL30" s="3">
        <v>1</v>
      </c>
      <c r="AM30" s="3">
        <v>1</v>
      </c>
      <c r="AN30" s="10">
        <f t="shared" si="8"/>
        <v>-0.12936347020105671</v>
      </c>
      <c r="AO30" s="3">
        <v>793</v>
      </c>
      <c r="AP30" s="3">
        <v>51</v>
      </c>
      <c r="AQ30" s="3"/>
      <c r="AR30" s="3"/>
      <c r="AS30" s="3"/>
      <c r="AT30" s="3"/>
      <c r="AU30" s="3"/>
      <c r="AV30" s="3"/>
    </row>
    <row r="31" spans="1:48" ht="15.4" x14ac:dyDescent="0.35">
      <c r="A31" s="9" t="s">
        <v>13</v>
      </c>
      <c r="B31" s="2">
        <v>2024</v>
      </c>
      <c r="C31" s="10">
        <v>0.19539999999999999</v>
      </c>
      <c r="D31" s="10">
        <v>0</v>
      </c>
      <c r="E31" s="10">
        <v>8.5300000000000001E-2</v>
      </c>
      <c r="F31" s="10">
        <v>6.1000000000000004E-3</v>
      </c>
      <c r="G31" s="3">
        <v>27558066</v>
      </c>
      <c r="H31" s="9">
        <v>10000</v>
      </c>
      <c r="I31" s="9">
        <f t="shared" si="4"/>
        <v>275580660000</v>
      </c>
      <c r="J31" s="9">
        <v>0</v>
      </c>
      <c r="K31" s="10">
        <v>-4447</v>
      </c>
      <c r="L31" s="9">
        <v>824.04</v>
      </c>
      <c r="M31" s="9">
        <v>813.63</v>
      </c>
      <c r="N31" s="9">
        <v>123.58</v>
      </c>
      <c r="O31" s="9">
        <v>121.91</v>
      </c>
      <c r="P31" s="9">
        <v>104.67700000000001</v>
      </c>
      <c r="Q31" s="9">
        <v>185.51</v>
      </c>
      <c r="R31" s="9">
        <v>489.16</v>
      </c>
      <c r="S31" s="9">
        <v>32.21</v>
      </c>
      <c r="T31" s="9">
        <v>51.77</v>
      </c>
      <c r="U31" s="9">
        <v>26.95</v>
      </c>
      <c r="V31" s="9">
        <v>399.62200000000001</v>
      </c>
      <c r="W31" s="9">
        <v>752.99800000000005</v>
      </c>
      <c r="X31" s="9">
        <v>1209.9169999999999</v>
      </c>
      <c r="Y31" s="9">
        <v>431.28</v>
      </c>
      <c r="Z31" s="9">
        <v>778.64</v>
      </c>
      <c r="AA31" s="9">
        <v>763.11</v>
      </c>
      <c r="AB31" s="9">
        <v>425.4</v>
      </c>
      <c r="AC31" s="9">
        <v>5.88</v>
      </c>
      <c r="AD31" s="9">
        <v>289.14</v>
      </c>
      <c r="AE31" s="9">
        <v>216.166</v>
      </c>
      <c r="AF31" s="9">
        <v>90.724000000000004</v>
      </c>
      <c r="AG31" s="9">
        <v>139.52000000000001</v>
      </c>
      <c r="AH31" s="9">
        <v>-12.68</v>
      </c>
      <c r="AI31" s="9">
        <v>-1.47</v>
      </c>
      <c r="AJ31" s="9">
        <v>35.57</v>
      </c>
      <c r="AK31" s="9" t="s">
        <v>62</v>
      </c>
      <c r="AL31" s="3">
        <v>1</v>
      </c>
      <c r="AM31" s="3">
        <v>1</v>
      </c>
      <c r="AN31" s="10">
        <f t="shared" si="8"/>
        <v>-5.4663928690245486E-2</v>
      </c>
      <c r="AO31" s="3">
        <v>560</v>
      </c>
      <c r="AP31" s="3">
        <v>52</v>
      </c>
      <c r="AQ31" s="3"/>
      <c r="AR31" s="3"/>
      <c r="AS31" s="3"/>
      <c r="AT31" s="3"/>
      <c r="AU31" s="3"/>
      <c r="AV31" s="3"/>
    </row>
    <row r="32" spans="1:48" ht="15.4" x14ac:dyDescent="0.35">
      <c r="A32" s="9" t="s">
        <v>2</v>
      </c>
      <c r="B32" s="2">
        <v>2020</v>
      </c>
      <c r="C32" s="10">
        <v>8.8239999999999999E-2</v>
      </c>
      <c r="D32" s="10">
        <v>0</v>
      </c>
      <c r="E32" s="10">
        <v>0.60750000000000004</v>
      </c>
      <c r="F32" s="10">
        <v>0.39250000000000002</v>
      </c>
      <c r="G32" s="3">
        <v>124045458</v>
      </c>
      <c r="H32" s="9">
        <v>10000</v>
      </c>
      <c r="I32" s="9">
        <f t="shared" si="4"/>
        <v>1240454580000</v>
      </c>
      <c r="J32" s="9">
        <v>59014661500</v>
      </c>
      <c r="K32" s="10">
        <v>987</v>
      </c>
      <c r="L32" s="9">
        <v>3154.19</v>
      </c>
      <c r="M32" s="9">
        <v>3154.19</v>
      </c>
      <c r="N32" s="9">
        <v>175.14</v>
      </c>
      <c r="O32" s="9">
        <v>133.58000000000001</v>
      </c>
      <c r="P32" s="9">
        <v>21.98</v>
      </c>
      <c r="Q32" s="9">
        <v>192.22</v>
      </c>
      <c r="R32" s="9">
        <v>301.82</v>
      </c>
      <c r="S32" s="9">
        <v>902.72</v>
      </c>
      <c r="T32" s="9">
        <v>1871.68</v>
      </c>
      <c r="U32" s="9">
        <v>2226.7759999999998</v>
      </c>
      <c r="V32" s="9">
        <v>1449.51</v>
      </c>
      <c r="W32" s="9">
        <v>4005.88</v>
      </c>
      <c r="X32" s="9">
        <v>6780.11</v>
      </c>
      <c r="Y32" s="9">
        <v>4277.2</v>
      </c>
      <c r="Z32" s="9">
        <v>2502.91</v>
      </c>
      <c r="AA32" s="9">
        <v>5557.41</v>
      </c>
      <c r="AB32" s="9">
        <v>3896.0880000000002</v>
      </c>
      <c r="AC32" s="9">
        <v>381.11</v>
      </c>
      <c r="AD32" s="9">
        <v>1028.107</v>
      </c>
      <c r="AE32" s="9">
        <v>434.42</v>
      </c>
      <c r="AF32" s="9">
        <v>52.826999999999998</v>
      </c>
      <c r="AG32" s="9">
        <v>88.656999999999996</v>
      </c>
      <c r="AH32" s="9">
        <v>-355.25200000000001</v>
      </c>
      <c r="AI32" s="9">
        <v>-404.27499999999998</v>
      </c>
      <c r="AJ32" s="9">
        <v>358.35300000000001</v>
      </c>
      <c r="AK32" s="9" t="s">
        <v>62</v>
      </c>
      <c r="AL32" s="3">
        <v>1</v>
      </c>
      <c r="AM32" s="3">
        <v>1</v>
      </c>
      <c r="AN32" s="10">
        <f t="shared" si="8"/>
        <v>2.8277146740449495</v>
      </c>
      <c r="AO32" s="3">
        <v>1224</v>
      </c>
      <c r="AP32" s="3">
        <v>16</v>
      </c>
      <c r="AQ32" s="3"/>
      <c r="AR32" s="3"/>
      <c r="AS32" s="3"/>
      <c r="AT32" s="3"/>
      <c r="AU32" s="3"/>
      <c r="AV32" s="3"/>
    </row>
    <row r="33" spans="1:48" ht="15.4" x14ac:dyDescent="0.35">
      <c r="A33" s="9" t="s">
        <v>2</v>
      </c>
      <c r="B33" s="3">
        <v>2021</v>
      </c>
      <c r="C33" s="10">
        <v>4.1110000000000001E-2</v>
      </c>
      <c r="D33" s="10">
        <v>0</v>
      </c>
      <c r="E33" s="10">
        <v>0.52549999999999997</v>
      </c>
      <c r="F33" s="10">
        <v>0.33100000000000002</v>
      </c>
      <c r="G33" s="3">
        <v>157439005</v>
      </c>
      <c r="H33" s="9">
        <v>10000</v>
      </c>
      <c r="I33" s="9">
        <f t="shared" si="4"/>
        <v>1574390050000</v>
      </c>
      <c r="J33" s="9">
        <v>40869223256</v>
      </c>
      <c r="K33" s="10">
        <v>534</v>
      </c>
      <c r="L33" s="9">
        <v>3484.2190000000001</v>
      </c>
      <c r="M33" s="9">
        <v>3484.2190000000001</v>
      </c>
      <c r="N33" s="9">
        <v>111.051</v>
      </c>
      <c r="O33" s="9">
        <v>70.781000000000006</v>
      </c>
      <c r="P33" s="9">
        <v>25.239000000000001</v>
      </c>
      <c r="Q33" s="9">
        <v>200.09899999999999</v>
      </c>
      <c r="R33" s="9">
        <v>108.2</v>
      </c>
      <c r="S33" s="9">
        <v>1569.971</v>
      </c>
      <c r="T33" s="9">
        <v>2304.5320000000002</v>
      </c>
      <c r="U33" s="9">
        <v>2720.65</v>
      </c>
      <c r="V33" s="9">
        <v>1537.1079999999999</v>
      </c>
      <c r="W33" s="9">
        <v>4651.9579999999996</v>
      </c>
      <c r="X33" s="9">
        <v>7495.7039999999997</v>
      </c>
      <c r="Y33" s="9">
        <v>4566.5230000000001</v>
      </c>
      <c r="Z33" s="9">
        <v>2929.181</v>
      </c>
      <c r="AA33" s="9">
        <v>5062.62</v>
      </c>
      <c r="AB33" s="9">
        <v>3365.4789999999998</v>
      </c>
      <c r="AC33" s="9">
        <v>1140.623</v>
      </c>
      <c r="AD33" s="9">
        <v>1662.011</v>
      </c>
      <c r="AE33" s="9">
        <v>1631.82</v>
      </c>
      <c r="AF33" s="9">
        <v>26.173999999999999</v>
      </c>
      <c r="AG33" s="9">
        <v>110.386</v>
      </c>
      <c r="AH33" s="9">
        <v>-1208.5450000000001</v>
      </c>
      <c r="AI33" s="9">
        <v>-1215.7940000000001</v>
      </c>
      <c r="AJ33" s="9">
        <v>312.43</v>
      </c>
      <c r="AK33" s="9" t="s">
        <v>62</v>
      </c>
      <c r="AL33" s="3">
        <v>1</v>
      </c>
      <c r="AM33" s="3">
        <v>1</v>
      </c>
      <c r="AN33" s="10">
        <f t="shared" si="8"/>
        <v>0.1046319340306069</v>
      </c>
      <c r="AO33" s="3">
        <v>1347</v>
      </c>
      <c r="AP33" s="3">
        <v>17</v>
      </c>
      <c r="AQ33" s="3"/>
      <c r="AR33" s="3"/>
      <c r="AS33" s="3"/>
      <c r="AT33" s="3"/>
      <c r="AU33" s="3"/>
      <c r="AV33" s="3"/>
    </row>
    <row r="34" spans="1:48" ht="15.4" x14ac:dyDescent="0.35">
      <c r="A34" s="9" t="s">
        <v>2</v>
      </c>
      <c r="B34" s="2">
        <v>2022</v>
      </c>
      <c r="C34" s="10"/>
      <c r="D34" s="10">
        <v>0</v>
      </c>
      <c r="E34" s="10">
        <v>0.433</v>
      </c>
      <c r="F34" s="10">
        <v>0.33100000000000002</v>
      </c>
      <c r="G34" s="3">
        <v>157439005</v>
      </c>
      <c r="H34" s="9">
        <v>10000</v>
      </c>
      <c r="I34" s="9">
        <f t="shared" si="4"/>
        <v>1574390050000</v>
      </c>
      <c r="J34" s="9">
        <v>55878684090</v>
      </c>
      <c r="K34" s="10">
        <v>252</v>
      </c>
      <c r="L34" s="9">
        <v>3045.529</v>
      </c>
      <c r="M34" s="9">
        <v>3045.529</v>
      </c>
      <c r="N34" s="9">
        <v>54.851999999999997</v>
      </c>
      <c r="O34" s="9">
        <v>51.6</v>
      </c>
      <c r="P34" s="9">
        <v>26.794</v>
      </c>
      <c r="Q34" s="9">
        <v>214.70099999999999</v>
      </c>
      <c r="R34" s="9">
        <v>202.60400000000001</v>
      </c>
      <c r="S34" s="9">
        <v>1595.373</v>
      </c>
      <c r="T34" s="9">
        <v>2015.7170000000001</v>
      </c>
      <c r="U34" s="9">
        <v>2373.4140000000002</v>
      </c>
      <c r="V34" s="9">
        <v>1220.4690000000001</v>
      </c>
      <c r="W34" s="9">
        <v>3954.8359999999998</v>
      </c>
      <c r="X34" s="9">
        <v>7580.9740000000002</v>
      </c>
      <c r="Y34" s="9">
        <v>4097.6490000000003</v>
      </c>
      <c r="Z34" s="9">
        <v>3483.3240000000001</v>
      </c>
      <c r="AA34" s="9">
        <v>5235.3819999999996</v>
      </c>
      <c r="AB34" s="9">
        <v>3152.0940000000001</v>
      </c>
      <c r="AC34" s="9">
        <v>941.26800000000003</v>
      </c>
      <c r="AD34" s="9">
        <v>1669.258</v>
      </c>
      <c r="AE34" s="9">
        <v>1552.75</v>
      </c>
      <c r="AF34" s="9">
        <v>29.539000000000001</v>
      </c>
      <c r="AG34" s="9">
        <v>202.89400000000001</v>
      </c>
      <c r="AH34" s="9">
        <v>-469.24599999999998</v>
      </c>
      <c r="AI34" s="9">
        <v>-138.392</v>
      </c>
      <c r="AJ34" s="9">
        <v>174.63800000000001</v>
      </c>
      <c r="AK34" s="9" t="s">
        <v>62</v>
      </c>
      <c r="AL34" s="3">
        <v>1</v>
      </c>
      <c r="AM34" s="3">
        <v>1</v>
      </c>
      <c r="AN34" s="10">
        <f t="shared" si="8"/>
        <v>-0.125907699831727</v>
      </c>
      <c r="AO34" s="3">
        <v>1228</v>
      </c>
      <c r="AP34" s="3">
        <v>18</v>
      </c>
      <c r="AQ34" s="3"/>
      <c r="AR34" s="3"/>
      <c r="AS34" s="3"/>
      <c r="AT34" s="3"/>
      <c r="AU34" s="3"/>
      <c r="AV34" s="3"/>
    </row>
    <row r="35" spans="1:48" ht="15.4" x14ac:dyDescent="0.35">
      <c r="A35" s="9" t="s">
        <v>2</v>
      </c>
      <c r="B35" s="3">
        <v>2023</v>
      </c>
      <c r="C35" s="10">
        <v>4.0599999999999997E-2</v>
      </c>
      <c r="D35" s="10">
        <v>0</v>
      </c>
      <c r="E35" s="16"/>
      <c r="F35" s="10"/>
      <c r="G35" s="3">
        <v>157439005</v>
      </c>
      <c r="H35" s="9">
        <v>10000</v>
      </c>
      <c r="I35" s="9">
        <f t="shared" si="4"/>
        <v>1574390050000</v>
      </c>
      <c r="J35" s="9">
        <v>53513703800</v>
      </c>
      <c r="K35" s="10">
        <v>-204</v>
      </c>
      <c r="L35" s="9">
        <v>2879.5659999999998</v>
      </c>
      <c r="M35" s="9">
        <v>2879.5659999999998</v>
      </c>
      <c r="N35" s="9">
        <v>-8.7550000000000008</v>
      </c>
      <c r="O35" s="9">
        <v>-32.095999999999997</v>
      </c>
      <c r="P35" s="9">
        <v>20.805</v>
      </c>
      <c r="Q35" s="9">
        <v>209.25</v>
      </c>
      <c r="R35" s="9">
        <v>499.03</v>
      </c>
      <c r="S35" s="9">
        <v>1583.9179999999999</v>
      </c>
      <c r="T35" s="9">
        <v>706.99599999999998</v>
      </c>
      <c r="U35" s="9">
        <v>922.678</v>
      </c>
      <c r="V35" s="9">
        <v>1324.181</v>
      </c>
      <c r="W35" s="9">
        <v>2584.9859999999999</v>
      </c>
      <c r="X35" s="9">
        <v>8581.4500000000007</v>
      </c>
      <c r="Y35" s="9">
        <v>5219.6580000000004</v>
      </c>
      <c r="Z35" s="9">
        <v>3361.7919999999999</v>
      </c>
      <c r="AA35" s="9">
        <v>6136.5959999999995</v>
      </c>
      <c r="AB35" s="9">
        <v>4319.1130000000003</v>
      </c>
      <c r="AC35" s="9">
        <v>878.92100000000005</v>
      </c>
      <c r="AD35" s="9">
        <v>1680.6010000000001</v>
      </c>
      <c r="AE35" s="9">
        <v>1543.79</v>
      </c>
      <c r="AF35" s="9">
        <v>25.259</v>
      </c>
      <c r="AG35" s="9">
        <v>407.74599999999998</v>
      </c>
      <c r="AH35" s="9">
        <v>5.8230000000000004</v>
      </c>
      <c r="AI35" s="9">
        <v>-127.443</v>
      </c>
      <c r="AJ35" s="9">
        <v>701.73099999999999</v>
      </c>
      <c r="AK35" s="9" t="s">
        <v>62</v>
      </c>
      <c r="AL35" s="3">
        <v>1</v>
      </c>
      <c r="AM35" s="3">
        <v>1</v>
      </c>
      <c r="AN35" s="10">
        <f t="shared" si="8"/>
        <v>-5.4493981176997559E-2</v>
      </c>
      <c r="AO35" s="3">
        <v>1115</v>
      </c>
      <c r="AP35" s="3">
        <v>19</v>
      </c>
      <c r="AQ35" s="3"/>
      <c r="AR35" s="3"/>
      <c r="AS35" s="3"/>
      <c r="AT35" s="3"/>
      <c r="AU35" s="3"/>
      <c r="AV35" s="3"/>
    </row>
    <row r="36" spans="1:48" ht="15.4" x14ac:dyDescent="0.35">
      <c r="A36" s="9" t="s">
        <v>2</v>
      </c>
      <c r="B36" s="2">
        <v>2024</v>
      </c>
      <c r="C36" s="10">
        <v>3.9E-2</v>
      </c>
      <c r="D36" s="10">
        <v>0</v>
      </c>
      <c r="E36" s="10">
        <v>0.52549999999999997</v>
      </c>
      <c r="F36" s="10">
        <v>0.31009999999999999</v>
      </c>
      <c r="G36" s="3">
        <v>157439005</v>
      </c>
      <c r="H36" s="9">
        <v>10000</v>
      </c>
      <c r="I36" s="9">
        <f t="shared" si="4"/>
        <v>1574390050000</v>
      </c>
      <c r="J36" s="9">
        <v>15805803454</v>
      </c>
      <c r="K36" s="10">
        <v>59</v>
      </c>
      <c r="L36" s="9">
        <v>3374.6970000000001</v>
      </c>
      <c r="M36" s="9">
        <v>3374.6970000000001</v>
      </c>
      <c r="N36" s="9">
        <v>61.308</v>
      </c>
      <c r="O36" s="9">
        <v>30.07</v>
      </c>
      <c r="P36" s="9">
        <v>25.908999999999999</v>
      </c>
      <c r="Q36" s="9">
        <v>211.357</v>
      </c>
      <c r="R36" s="9">
        <v>113.63800000000001</v>
      </c>
      <c r="S36" s="9">
        <v>1624.0329999999999</v>
      </c>
      <c r="T36" s="9">
        <v>927.15300000000002</v>
      </c>
      <c r="U36" s="9">
        <v>2171.1489999999999</v>
      </c>
      <c r="V36" s="9">
        <v>1306.164</v>
      </c>
      <c r="W36" s="9">
        <v>3832.0059999999999</v>
      </c>
      <c r="X36" s="9">
        <v>9706.0609999999997</v>
      </c>
      <c r="Y36" s="9">
        <v>6338.0370000000003</v>
      </c>
      <c r="Z36" s="9">
        <v>3368.0239999999999</v>
      </c>
      <c r="AA36" s="9">
        <v>6369.7179999999998</v>
      </c>
      <c r="AB36" s="9">
        <v>4808.6959999999999</v>
      </c>
      <c r="AC36" s="9">
        <v>1510.6669999999999</v>
      </c>
      <c r="AD36" s="9">
        <v>1682.9359999999999</v>
      </c>
      <c r="AE36" s="9">
        <v>1581.8420000000001</v>
      </c>
      <c r="AF36" s="9">
        <v>21.853000000000002</v>
      </c>
      <c r="AG36" s="9">
        <v>372.92200000000003</v>
      </c>
      <c r="AH36" s="9">
        <v>-881.41899999999998</v>
      </c>
      <c r="AI36" s="9">
        <v>-1016.903</v>
      </c>
      <c r="AJ36" s="9">
        <v>472.98599999999999</v>
      </c>
      <c r="AK36" s="9" t="s">
        <v>62</v>
      </c>
      <c r="AL36" s="3">
        <v>1</v>
      </c>
      <c r="AM36" s="3">
        <v>1</v>
      </c>
      <c r="AN36" s="10">
        <f t="shared" si="8"/>
        <v>0.1719463974779534</v>
      </c>
      <c r="AO36" s="3">
        <v>1330</v>
      </c>
      <c r="AP36" s="3">
        <v>20</v>
      </c>
      <c r="AQ36" s="3"/>
      <c r="AR36" s="3"/>
      <c r="AS36" s="3"/>
      <c r="AT36" s="3"/>
      <c r="AU36" s="3"/>
      <c r="AV36" s="3"/>
    </row>
    <row r="37" spans="1:48" ht="15.4" x14ac:dyDescent="0.35">
      <c r="A37" s="9" t="s">
        <v>7</v>
      </c>
      <c r="B37" s="2">
        <v>2020</v>
      </c>
      <c r="C37" s="10"/>
      <c r="D37" s="10">
        <v>0.6774</v>
      </c>
      <c r="E37" s="10">
        <v>0.75800000000000001</v>
      </c>
      <c r="F37" s="10">
        <v>8.5000000000000006E-2</v>
      </c>
      <c r="G37" s="3">
        <v>36000000</v>
      </c>
      <c r="H37" s="9">
        <v>10000</v>
      </c>
      <c r="I37" s="9">
        <f t="shared" si="4"/>
        <v>360000000000</v>
      </c>
      <c r="J37" s="9">
        <v>46800000000</v>
      </c>
      <c r="K37" s="10">
        <v>1550</v>
      </c>
      <c r="L37" s="9">
        <v>1547.23</v>
      </c>
      <c r="M37" s="9">
        <v>1547.23</v>
      </c>
      <c r="N37" s="9">
        <v>69.319999999999993</v>
      </c>
      <c r="O37" s="9">
        <v>60</v>
      </c>
      <c r="P37" s="9" t="s">
        <v>64</v>
      </c>
      <c r="Q37" s="9" t="s">
        <v>65</v>
      </c>
      <c r="R37" s="9" t="s">
        <v>66</v>
      </c>
      <c r="S37" s="9" t="s">
        <v>67</v>
      </c>
      <c r="T37" s="9" t="s">
        <v>68</v>
      </c>
      <c r="U37" s="9"/>
      <c r="V37" s="9" t="s">
        <v>69</v>
      </c>
      <c r="W37" s="9" t="s">
        <v>70</v>
      </c>
      <c r="X37" s="9" t="s">
        <v>71</v>
      </c>
      <c r="Y37" s="9" t="s">
        <v>72</v>
      </c>
      <c r="Z37" s="9" t="s">
        <v>73</v>
      </c>
      <c r="AA37" s="9" t="s">
        <v>74</v>
      </c>
      <c r="AB37" s="9" t="s">
        <v>75</v>
      </c>
      <c r="AC37" s="9" t="s">
        <v>76</v>
      </c>
      <c r="AD37" s="9" t="s">
        <v>77</v>
      </c>
      <c r="AE37" s="9" t="s">
        <v>78</v>
      </c>
      <c r="AF37" s="9">
        <v>0</v>
      </c>
      <c r="AG37" s="9">
        <v>137.94</v>
      </c>
      <c r="AH37" s="9">
        <v>-7.86</v>
      </c>
      <c r="AI37" s="9" t="s">
        <v>79</v>
      </c>
      <c r="AJ37" s="9">
        <v>78.81</v>
      </c>
      <c r="AK37" s="9" t="s">
        <v>62</v>
      </c>
      <c r="AL37" s="3">
        <v>0</v>
      </c>
      <c r="AM37" s="3">
        <v>0</v>
      </c>
      <c r="AN37" s="10">
        <f t="shared" si="8"/>
        <v>-0.54152032019467233</v>
      </c>
      <c r="AO37" s="3">
        <v>209</v>
      </c>
      <c r="AP37" s="3">
        <v>13</v>
      </c>
      <c r="AQ37" s="3"/>
      <c r="AR37" s="3"/>
      <c r="AS37" s="3"/>
      <c r="AT37" s="3"/>
      <c r="AU37" s="3"/>
      <c r="AV37" s="3"/>
    </row>
    <row r="38" spans="1:48" ht="15.4" x14ac:dyDescent="0.35">
      <c r="A38" s="9" t="s">
        <v>7</v>
      </c>
      <c r="B38" s="3">
        <v>2021</v>
      </c>
      <c r="C38" s="10"/>
      <c r="D38" s="10">
        <v>0.67979999999999996</v>
      </c>
      <c r="E38" s="10">
        <v>0.69040000000000001</v>
      </c>
      <c r="F38" s="10">
        <v>1.5299999999999999E-2</v>
      </c>
      <c r="G38" s="3">
        <v>55799445</v>
      </c>
      <c r="H38" s="9">
        <v>10000</v>
      </c>
      <c r="I38" s="9">
        <f t="shared" si="4"/>
        <v>557994450000</v>
      </c>
      <c r="J38" s="9">
        <v>54000000000</v>
      </c>
      <c r="K38" s="10">
        <v>1437</v>
      </c>
      <c r="L38" s="9">
        <v>1631.6</v>
      </c>
      <c r="M38" s="9">
        <v>1631.6</v>
      </c>
      <c r="N38" s="9">
        <v>67.680000000000007</v>
      </c>
      <c r="O38" s="9">
        <v>56.05</v>
      </c>
      <c r="P38" s="9" t="s">
        <v>80</v>
      </c>
      <c r="Q38" s="9" t="s">
        <v>81</v>
      </c>
      <c r="R38" s="9" t="s">
        <v>82</v>
      </c>
      <c r="S38" s="9" t="s">
        <v>67</v>
      </c>
      <c r="T38" s="9" t="s">
        <v>83</v>
      </c>
      <c r="U38" s="9"/>
      <c r="V38" s="9" t="s">
        <v>84</v>
      </c>
      <c r="W38" s="9" t="s">
        <v>85</v>
      </c>
      <c r="X38" s="9" t="s">
        <v>86</v>
      </c>
      <c r="Y38" s="9" t="s">
        <v>87</v>
      </c>
      <c r="Z38" s="9" t="s">
        <v>88</v>
      </c>
      <c r="AA38" s="9" t="s">
        <v>89</v>
      </c>
      <c r="AB38" s="9" t="s">
        <v>90</v>
      </c>
      <c r="AC38" s="9" t="s">
        <v>91</v>
      </c>
      <c r="AD38" s="9" t="s">
        <v>67</v>
      </c>
      <c r="AE38" s="9" t="s">
        <v>92</v>
      </c>
      <c r="AF38" s="9" t="s">
        <v>67</v>
      </c>
      <c r="AG38" s="9" t="s">
        <v>67</v>
      </c>
      <c r="AH38" s="9" t="s">
        <v>67</v>
      </c>
      <c r="AI38" s="9" t="s">
        <v>67</v>
      </c>
      <c r="AJ38" s="9" t="s">
        <v>67</v>
      </c>
      <c r="AK38" s="9" t="s">
        <v>67</v>
      </c>
      <c r="AL38" s="3">
        <v>1</v>
      </c>
      <c r="AM38" s="3">
        <v>1</v>
      </c>
      <c r="AN38" s="10">
        <f t="shared" si="8"/>
        <v>5.4529707929654864E-2</v>
      </c>
      <c r="AO38" s="3">
        <v>218</v>
      </c>
      <c r="AP38" s="3">
        <v>14</v>
      </c>
      <c r="AQ38" s="3"/>
      <c r="AR38" s="3"/>
      <c r="AS38" s="3"/>
      <c r="AT38" s="3"/>
      <c r="AU38" s="3"/>
      <c r="AV38" s="3"/>
    </row>
    <row r="39" spans="1:48" ht="15.4" x14ac:dyDescent="0.35">
      <c r="A39" s="9" t="s">
        <v>7</v>
      </c>
      <c r="B39" s="2">
        <v>2022</v>
      </c>
      <c r="C39" s="10"/>
      <c r="D39" s="10">
        <v>0.67979999999999996</v>
      </c>
      <c r="E39" s="10">
        <v>0.68</v>
      </c>
      <c r="F39" s="10" t="s">
        <v>67</v>
      </c>
      <c r="G39" s="3">
        <v>55799445</v>
      </c>
      <c r="H39" s="9">
        <v>10000</v>
      </c>
      <c r="I39" s="9">
        <f t="shared" si="4"/>
        <v>557994450000</v>
      </c>
      <c r="J39" s="9">
        <v>49859270291</v>
      </c>
      <c r="K39" s="10">
        <v>1379</v>
      </c>
      <c r="L39" s="9">
        <v>1844.79</v>
      </c>
      <c r="M39" s="9">
        <v>1844.79</v>
      </c>
      <c r="N39" s="9">
        <v>91.81</v>
      </c>
      <c r="O39" s="9">
        <v>81.2</v>
      </c>
      <c r="P39" s="9" t="s">
        <v>93</v>
      </c>
      <c r="Q39" s="9" t="s">
        <v>94</v>
      </c>
      <c r="R39" s="9" t="s">
        <v>67</v>
      </c>
      <c r="S39" s="9" t="s">
        <v>67</v>
      </c>
      <c r="T39" s="9" t="s">
        <v>67</v>
      </c>
      <c r="U39" s="9" t="s">
        <v>67</v>
      </c>
      <c r="V39" s="9" t="s">
        <v>67</v>
      </c>
      <c r="W39" s="9" t="s">
        <v>67</v>
      </c>
      <c r="X39" s="9" t="s">
        <v>95</v>
      </c>
      <c r="Y39" s="9" t="s">
        <v>96</v>
      </c>
      <c r="Z39" s="9" t="s">
        <v>97</v>
      </c>
      <c r="AA39" s="9" t="s">
        <v>98</v>
      </c>
      <c r="AB39" s="9" t="s">
        <v>99</v>
      </c>
      <c r="AC39" s="9" t="s">
        <v>100</v>
      </c>
      <c r="AD39" s="9" t="s">
        <v>101</v>
      </c>
      <c r="AE39" s="9" t="s">
        <v>102</v>
      </c>
      <c r="AF39" s="9">
        <v>0</v>
      </c>
      <c r="AG39" s="9" t="s">
        <v>103</v>
      </c>
      <c r="AH39" s="9">
        <v>-362.88</v>
      </c>
      <c r="AI39" s="9" t="s">
        <v>104</v>
      </c>
      <c r="AJ39" s="9" t="s">
        <v>105</v>
      </c>
      <c r="AK39" s="9" t="s">
        <v>67</v>
      </c>
      <c r="AL39" s="3">
        <v>1</v>
      </c>
      <c r="AM39" s="3">
        <v>1</v>
      </c>
      <c r="AN39" s="10">
        <f t="shared" si="8"/>
        <v>0.13066315273351314</v>
      </c>
      <c r="AO39" s="3">
        <v>238</v>
      </c>
      <c r="AP39" s="3">
        <v>15</v>
      </c>
      <c r="AQ39" s="3"/>
      <c r="AR39" s="3"/>
      <c r="AS39" s="3"/>
      <c r="AT39" s="3"/>
      <c r="AU39" s="3"/>
      <c r="AV39" s="3"/>
    </row>
    <row r="40" spans="1:48" ht="15.4" x14ac:dyDescent="0.35">
      <c r="A40" s="9" t="s">
        <v>7</v>
      </c>
      <c r="B40" s="3">
        <v>2023</v>
      </c>
      <c r="C40" s="10" t="s">
        <v>106</v>
      </c>
      <c r="D40" s="10">
        <v>0.67979999999999996</v>
      </c>
      <c r="E40" s="10">
        <v>0.68</v>
      </c>
      <c r="F40" s="10" t="s">
        <v>67</v>
      </c>
      <c r="G40" s="3">
        <v>55799445</v>
      </c>
      <c r="H40" s="9">
        <v>10000</v>
      </c>
      <c r="I40" s="9">
        <f t="shared" si="4"/>
        <v>557994450000</v>
      </c>
      <c r="J40" s="9">
        <v>55829145000</v>
      </c>
      <c r="K40" s="10">
        <v>1411</v>
      </c>
      <c r="L40" s="9">
        <v>1765.17</v>
      </c>
      <c r="M40" s="9">
        <v>1765.17</v>
      </c>
      <c r="N40" s="9">
        <v>81.89</v>
      </c>
      <c r="O40" s="9">
        <v>84.69</v>
      </c>
      <c r="P40" s="9" t="s">
        <v>107</v>
      </c>
      <c r="Q40" s="9" t="s">
        <v>108</v>
      </c>
      <c r="R40" s="9" t="s">
        <v>67</v>
      </c>
      <c r="S40" s="9" t="s">
        <v>67</v>
      </c>
      <c r="T40" s="9" t="s">
        <v>67</v>
      </c>
      <c r="U40" s="9" t="s">
        <v>67</v>
      </c>
      <c r="V40" s="9" t="s">
        <v>67</v>
      </c>
      <c r="W40" s="9" t="s">
        <v>67</v>
      </c>
      <c r="X40" s="9" t="s">
        <v>109</v>
      </c>
      <c r="Y40" s="9" t="s">
        <v>110</v>
      </c>
      <c r="Z40" s="9" t="s">
        <v>111</v>
      </c>
      <c r="AA40" s="9" t="s">
        <v>112</v>
      </c>
      <c r="AB40" s="9" t="s">
        <v>113</v>
      </c>
      <c r="AC40" s="9" t="s">
        <v>114</v>
      </c>
      <c r="AD40" s="9" t="s">
        <v>115</v>
      </c>
      <c r="AE40" s="9" t="s">
        <v>116</v>
      </c>
      <c r="AF40" s="9" t="s">
        <v>117</v>
      </c>
      <c r="AG40" s="9" t="s">
        <v>118</v>
      </c>
      <c r="AH40" s="9" t="s">
        <v>119</v>
      </c>
      <c r="AI40" s="9" t="s">
        <v>120</v>
      </c>
      <c r="AJ40" s="9" t="s">
        <v>121</v>
      </c>
      <c r="AK40" s="9" t="s">
        <v>67</v>
      </c>
      <c r="AL40" s="3">
        <v>0</v>
      </c>
      <c r="AM40" s="3">
        <v>1</v>
      </c>
      <c r="AN40" s="10">
        <f t="shared" si="8"/>
        <v>-4.3159383994926193E-2</v>
      </c>
      <c r="AO40" s="3">
        <v>254</v>
      </c>
      <c r="AP40" s="3">
        <v>16</v>
      </c>
      <c r="AQ40" s="3"/>
      <c r="AR40" s="3"/>
      <c r="AS40" s="3"/>
      <c r="AT40" s="3"/>
      <c r="AU40" s="3"/>
      <c r="AV40" s="3"/>
    </row>
    <row r="41" spans="1:48" ht="15.4" x14ac:dyDescent="0.35">
      <c r="A41" s="9" t="s">
        <v>7</v>
      </c>
      <c r="B41" s="2">
        <v>2024</v>
      </c>
      <c r="C41" s="10" t="s">
        <v>122</v>
      </c>
      <c r="D41" s="10">
        <v>0.67979999999999996</v>
      </c>
      <c r="E41" s="10">
        <v>0.67979999999999996</v>
      </c>
      <c r="F41" s="10" t="s">
        <v>67</v>
      </c>
      <c r="G41" s="3">
        <v>61379265</v>
      </c>
      <c r="H41" s="9">
        <v>10000</v>
      </c>
      <c r="I41" s="9">
        <f t="shared" si="4"/>
        <v>613792650000</v>
      </c>
      <c r="J41" s="9">
        <v>0</v>
      </c>
      <c r="K41" s="10">
        <v>1507</v>
      </c>
      <c r="L41" s="9">
        <v>2247</v>
      </c>
      <c r="M41" s="9">
        <v>2247</v>
      </c>
      <c r="N41" s="9">
        <v>107.83</v>
      </c>
      <c r="O41" s="9">
        <v>100.67</v>
      </c>
      <c r="P41" s="9" t="s">
        <v>123</v>
      </c>
      <c r="Q41" s="9" t="s">
        <v>124</v>
      </c>
      <c r="R41" s="9" t="s">
        <v>67</v>
      </c>
      <c r="S41" s="9" t="s">
        <v>67</v>
      </c>
      <c r="T41" s="9" t="s">
        <v>67</v>
      </c>
      <c r="U41" s="9" t="s">
        <v>67</v>
      </c>
      <c r="V41" s="9" t="s">
        <v>67</v>
      </c>
      <c r="W41" s="9" t="s">
        <v>67</v>
      </c>
      <c r="X41" s="9" t="s">
        <v>125</v>
      </c>
      <c r="Y41" s="9" t="s">
        <v>126</v>
      </c>
      <c r="Z41" s="9" t="s">
        <v>127</v>
      </c>
      <c r="AA41" s="9" t="s">
        <v>128</v>
      </c>
      <c r="AB41" s="9" t="s">
        <v>129</v>
      </c>
      <c r="AC41" s="9" t="s">
        <v>130</v>
      </c>
      <c r="AD41" s="9" t="s">
        <v>131</v>
      </c>
      <c r="AE41" s="9" t="s">
        <v>132</v>
      </c>
      <c r="AF41" s="9" t="s">
        <v>133</v>
      </c>
      <c r="AG41" s="9" t="s">
        <v>134</v>
      </c>
      <c r="AH41" s="9">
        <v>-369.84</v>
      </c>
      <c r="AI41" s="9" t="s">
        <v>135</v>
      </c>
      <c r="AJ41" s="9" t="s">
        <v>136</v>
      </c>
      <c r="AK41" s="9" t="s">
        <v>62</v>
      </c>
      <c r="AL41" s="3">
        <v>1</v>
      </c>
      <c r="AM41" s="3">
        <v>1</v>
      </c>
      <c r="AN41" s="10">
        <f t="shared" si="8"/>
        <v>0.27296521014973057</v>
      </c>
      <c r="AO41" s="3">
        <v>273</v>
      </c>
      <c r="AP41" s="3">
        <v>17</v>
      </c>
      <c r="AQ41" s="3"/>
      <c r="AR41" s="3"/>
      <c r="AS41" s="3"/>
      <c r="AT41" s="3"/>
      <c r="AU41" s="3"/>
      <c r="AV41" s="3"/>
    </row>
    <row r="42" spans="1:48" ht="15.4" x14ac:dyDescent="0.35">
      <c r="A42" s="9" t="s">
        <v>3</v>
      </c>
      <c r="B42" s="2">
        <v>2020</v>
      </c>
      <c r="C42" s="10">
        <v>6.7000000000000002E-3</v>
      </c>
      <c r="D42" s="10">
        <v>0</v>
      </c>
      <c r="E42" s="10">
        <v>0.98450000000000004</v>
      </c>
      <c r="F42" s="10">
        <v>3.8E-3</v>
      </c>
      <c r="G42" s="3">
        <v>267384090</v>
      </c>
      <c r="H42" s="9">
        <v>10000</v>
      </c>
      <c r="I42" s="9">
        <v>2673840900000</v>
      </c>
      <c r="J42" s="9">
        <v>0</v>
      </c>
      <c r="K42" s="10">
        <v>469</v>
      </c>
      <c r="L42" s="9">
        <v>1202.5319999999999</v>
      </c>
      <c r="M42" s="9">
        <v>1201.3430000000001</v>
      </c>
      <c r="N42" s="9">
        <v>178.37299999999999</v>
      </c>
      <c r="O42" s="9">
        <v>175.56399999999999</v>
      </c>
      <c r="P42" s="9">
        <v>0</v>
      </c>
      <c r="Q42" s="9">
        <v>101.735</v>
      </c>
      <c r="R42" s="9" t="s">
        <v>67</v>
      </c>
      <c r="S42" s="9">
        <v>67.436000000000007</v>
      </c>
      <c r="T42" s="9">
        <v>283.28300000000002</v>
      </c>
      <c r="U42" s="9"/>
      <c r="V42" s="9">
        <v>120.524</v>
      </c>
      <c r="W42" s="9">
        <v>894.35</v>
      </c>
      <c r="X42" s="9">
        <v>32416.880000000001</v>
      </c>
      <c r="Y42" s="9">
        <v>25032.427</v>
      </c>
      <c r="Z42" s="9">
        <v>7384.4539999999997</v>
      </c>
      <c r="AA42" s="9">
        <v>1443.8040000000001</v>
      </c>
      <c r="AB42" s="9">
        <v>3576.9839999999999</v>
      </c>
      <c r="AC42" s="9">
        <v>20744.455999999998</v>
      </c>
      <c r="AD42" s="9">
        <v>72.722999999999999</v>
      </c>
      <c r="AE42" s="9">
        <v>23691.33</v>
      </c>
      <c r="AF42" s="9">
        <v>0.93300000000000005</v>
      </c>
      <c r="AG42" s="9">
        <v>-62.072000000000003</v>
      </c>
      <c r="AH42" s="9">
        <v>-1254.3779999999999</v>
      </c>
      <c r="AI42" s="9">
        <v>-1319.6389999999999</v>
      </c>
      <c r="AJ42" s="9">
        <v>276.95600000000002</v>
      </c>
      <c r="AK42" s="9" t="s">
        <v>62</v>
      </c>
      <c r="AL42" s="3">
        <v>1</v>
      </c>
      <c r="AM42" s="3">
        <v>1</v>
      </c>
      <c r="AN42" s="10">
        <f t="shared" si="8"/>
        <v>-0.46482777036048067</v>
      </c>
      <c r="AO42" s="3">
        <v>1108</v>
      </c>
      <c r="AP42" s="3">
        <v>10</v>
      </c>
      <c r="AQ42" s="3"/>
      <c r="AR42" s="3"/>
      <c r="AS42" s="3"/>
      <c r="AT42" s="3"/>
      <c r="AU42" s="3"/>
      <c r="AV42" s="3"/>
    </row>
    <row r="43" spans="1:48" ht="15.4" x14ac:dyDescent="0.35">
      <c r="A43" s="9" t="s">
        <v>3</v>
      </c>
      <c r="B43" s="3">
        <v>2021</v>
      </c>
      <c r="C43" s="10"/>
      <c r="D43" s="10">
        <v>0</v>
      </c>
      <c r="E43" s="10" t="s">
        <v>67</v>
      </c>
      <c r="F43" s="10" t="s">
        <v>67</v>
      </c>
      <c r="G43" s="3">
        <v>267384090</v>
      </c>
      <c r="H43" s="9">
        <v>10000</v>
      </c>
      <c r="I43" s="9">
        <v>2673840900000</v>
      </c>
      <c r="J43" s="9">
        <v>0</v>
      </c>
      <c r="K43" s="10">
        <v>1006</v>
      </c>
      <c r="L43" s="9">
        <v>1861.34</v>
      </c>
      <c r="M43" s="9">
        <v>1861.34</v>
      </c>
      <c r="N43" s="9">
        <v>312.488</v>
      </c>
      <c r="O43" s="9">
        <v>290.64699999999999</v>
      </c>
      <c r="P43" s="9">
        <v>0</v>
      </c>
      <c r="Q43" s="9">
        <v>94.936000000000007</v>
      </c>
      <c r="R43" s="9" t="s">
        <v>67</v>
      </c>
      <c r="S43" s="9">
        <v>32.654000000000003</v>
      </c>
      <c r="T43" s="9">
        <v>58.988999999999997</v>
      </c>
      <c r="U43" s="9">
        <v>401.97399999999999</v>
      </c>
      <c r="V43" s="9">
        <v>314.61900000000003</v>
      </c>
      <c r="W43" s="9">
        <v>994.37400000000002</v>
      </c>
      <c r="X43" s="9">
        <v>33963.489000000001</v>
      </c>
      <c r="Y43" s="9">
        <v>26287.350999999999</v>
      </c>
      <c r="Z43" s="9">
        <v>7676.1369999999997</v>
      </c>
      <c r="AA43" s="9">
        <v>1389.0550000000001</v>
      </c>
      <c r="AB43" s="9">
        <v>3234.5169999999998</v>
      </c>
      <c r="AC43" s="9">
        <v>20871.802</v>
      </c>
      <c r="AD43" s="9">
        <v>38.283000000000001</v>
      </c>
      <c r="AE43" s="9">
        <v>28702.848000000002</v>
      </c>
      <c r="AF43" s="9">
        <v>0.76800000000000002</v>
      </c>
      <c r="AG43" s="9">
        <v>162.22200000000001</v>
      </c>
      <c r="AH43" s="9">
        <v>-198.84399999999999</v>
      </c>
      <c r="AI43" s="9">
        <v>-238.84100000000001</v>
      </c>
      <c r="AJ43" s="9">
        <v>262.38299999999998</v>
      </c>
      <c r="AK43" s="9" t="s">
        <v>62</v>
      </c>
      <c r="AL43" s="3">
        <v>1</v>
      </c>
      <c r="AM43" s="3">
        <v>1</v>
      </c>
      <c r="AN43" s="10">
        <f t="shared" si="8"/>
        <v>0.54785070168610905</v>
      </c>
      <c r="AO43" s="3">
        <v>987</v>
      </c>
      <c r="AP43" s="3">
        <v>11</v>
      </c>
      <c r="AQ43" s="3"/>
      <c r="AR43" s="3"/>
      <c r="AS43" s="3"/>
      <c r="AT43" s="3"/>
      <c r="AU43" s="3"/>
      <c r="AV43" s="3"/>
    </row>
    <row r="44" spans="1:48" ht="15.4" x14ac:dyDescent="0.35">
      <c r="A44" s="9" t="s">
        <v>3</v>
      </c>
      <c r="B44" s="2">
        <v>2022</v>
      </c>
      <c r="C44" s="10"/>
      <c r="D44" s="10">
        <v>0</v>
      </c>
      <c r="E44" s="10">
        <v>0.34910000000000002</v>
      </c>
      <c r="F44" s="10" t="s">
        <v>67</v>
      </c>
      <c r="G44" s="3">
        <v>307804450</v>
      </c>
      <c r="H44" s="9">
        <v>10000</v>
      </c>
      <c r="I44" s="9">
        <v>3078044500000</v>
      </c>
      <c r="J44" s="9">
        <v>0</v>
      </c>
      <c r="K44" s="10">
        <v>982</v>
      </c>
      <c r="L44" s="9">
        <v>2094.5819999999999</v>
      </c>
      <c r="M44" s="9">
        <v>2094.5819999999999</v>
      </c>
      <c r="N44" s="9">
        <v>354.24599999999998</v>
      </c>
      <c r="O44" s="9">
        <v>297.40899999999999</v>
      </c>
      <c r="P44" s="9">
        <v>0</v>
      </c>
      <c r="Q44" s="9">
        <v>72.873999999999995</v>
      </c>
      <c r="R44" s="9" t="s">
        <v>67</v>
      </c>
      <c r="S44" s="9">
        <v>148.953</v>
      </c>
      <c r="T44" s="9">
        <v>157.541</v>
      </c>
      <c r="U44" s="9">
        <v>545.56200000000001</v>
      </c>
      <c r="V44" s="9">
        <v>431.20499999999998</v>
      </c>
      <c r="W44" s="9">
        <v>1267.202</v>
      </c>
      <c r="X44" s="9">
        <v>35653.232000000004</v>
      </c>
      <c r="Y44" s="9">
        <v>27277.719000000001</v>
      </c>
      <c r="Z44" s="9">
        <v>8375.5130000000008</v>
      </c>
      <c r="AA44" s="9">
        <v>1183.826</v>
      </c>
      <c r="AB44" s="9">
        <v>3857.252</v>
      </c>
      <c r="AC44" s="9">
        <v>19780.098999999998</v>
      </c>
      <c r="AD44" s="9">
        <v>160.745</v>
      </c>
      <c r="AE44" s="9">
        <v>28557.206999999999</v>
      </c>
      <c r="AF44" s="9">
        <v>4.5709999999999997</v>
      </c>
      <c r="AG44" s="9">
        <v>365.12</v>
      </c>
      <c r="AH44" s="9">
        <v>-194.15700000000001</v>
      </c>
      <c r="AI44" s="9">
        <v>-196.90100000000001</v>
      </c>
      <c r="AJ44" s="9">
        <v>382.26100000000002</v>
      </c>
      <c r="AK44" s="9" t="s">
        <v>62</v>
      </c>
      <c r="AL44" s="3">
        <v>1</v>
      </c>
      <c r="AM44" s="3">
        <v>1</v>
      </c>
      <c r="AN44" s="10">
        <f t="shared" si="8"/>
        <v>0.12530864860799207</v>
      </c>
      <c r="AO44" s="3">
        <v>1285</v>
      </c>
      <c r="AP44" s="3">
        <v>12</v>
      </c>
      <c r="AQ44" s="3"/>
      <c r="AR44" s="3"/>
      <c r="AS44" s="3"/>
      <c r="AT44" s="3"/>
      <c r="AU44" s="3"/>
      <c r="AV44" s="3"/>
    </row>
    <row r="45" spans="1:48" ht="15.4" x14ac:dyDescent="0.35">
      <c r="A45" s="9" t="s">
        <v>3</v>
      </c>
      <c r="B45" s="3">
        <v>2023</v>
      </c>
      <c r="C45" s="10"/>
      <c r="D45" s="10">
        <v>0</v>
      </c>
      <c r="E45" s="10" t="s">
        <v>137</v>
      </c>
      <c r="F45" s="10" t="s">
        <v>67</v>
      </c>
      <c r="G45" s="3">
        <v>329350351</v>
      </c>
      <c r="H45" s="9">
        <v>10000</v>
      </c>
      <c r="I45" s="9">
        <f t="shared" ref="I45:I51" si="9">G45*H45</f>
        <v>3293503510000</v>
      </c>
      <c r="J45" s="9">
        <v>215459010000</v>
      </c>
      <c r="K45" s="10">
        <v>1010</v>
      </c>
      <c r="L45" s="9">
        <v>2685.5419999999999</v>
      </c>
      <c r="M45" s="9">
        <v>2685.5419999999999</v>
      </c>
      <c r="N45" s="9">
        <v>427.18700000000001</v>
      </c>
      <c r="O45" s="9">
        <v>364.45699999999999</v>
      </c>
      <c r="P45" s="9">
        <v>0</v>
      </c>
      <c r="Q45" s="9">
        <v>60.78</v>
      </c>
      <c r="R45" s="9" t="s">
        <v>67</v>
      </c>
      <c r="S45" s="9">
        <v>59.003</v>
      </c>
      <c r="T45" s="9">
        <v>113.508</v>
      </c>
      <c r="U45" s="9">
        <v>720.69600000000003</v>
      </c>
      <c r="V45" s="9">
        <v>514.64599999999996</v>
      </c>
      <c r="W45" s="9">
        <v>1575.953</v>
      </c>
      <c r="X45" s="9">
        <v>36780.154000000002</v>
      </c>
      <c r="Y45" s="9">
        <v>28047.253000000001</v>
      </c>
      <c r="Z45" s="9">
        <v>8732.9009999999998</v>
      </c>
      <c r="AA45" s="9">
        <v>1175.9739999999999</v>
      </c>
      <c r="AB45" s="9">
        <v>3143.895</v>
      </c>
      <c r="AC45" s="9">
        <v>19279.986000000001</v>
      </c>
      <c r="AD45" s="9">
        <v>77.290000000000006</v>
      </c>
      <c r="AE45" s="9">
        <v>27785.952000000001</v>
      </c>
      <c r="AF45" s="9">
        <v>3.0870000000000002</v>
      </c>
      <c r="AG45" s="9">
        <v>393.40100000000001</v>
      </c>
      <c r="AH45" s="9">
        <v>-91.733999999999995</v>
      </c>
      <c r="AI45" s="9">
        <v>-128.953</v>
      </c>
      <c r="AJ45" s="9">
        <v>296.12700000000001</v>
      </c>
      <c r="AK45" s="9" t="s">
        <v>62</v>
      </c>
      <c r="AL45" s="3">
        <v>1</v>
      </c>
      <c r="AM45" s="3">
        <v>1</v>
      </c>
      <c r="AN45" s="10">
        <f t="shared" si="8"/>
        <v>0.28213743840059741</v>
      </c>
      <c r="AO45" s="3">
        <v>1073</v>
      </c>
      <c r="AP45" s="3">
        <v>13</v>
      </c>
      <c r="AQ45" s="3"/>
      <c r="AR45" s="3"/>
      <c r="AS45" s="3"/>
      <c r="AT45" s="3"/>
      <c r="AU45" s="3"/>
      <c r="AV45" s="3"/>
    </row>
    <row r="46" spans="1:48" ht="15.4" x14ac:dyDescent="0.35">
      <c r="A46" s="9" t="s">
        <v>3</v>
      </c>
      <c r="B46" s="2">
        <v>2024</v>
      </c>
      <c r="C46" s="10">
        <v>4.7000000000000002E-3</v>
      </c>
      <c r="D46" s="10">
        <v>0</v>
      </c>
      <c r="E46" s="10">
        <v>0.17399999999999999</v>
      </c>
      <c r="F46" s="16" t="s">
        <v>67</v>
      </c>
      <c r="G46" s="3">
        <v>432255528</v>
      </c>
      <c r="H46" s="9">
        <v>10000</v>
      </c>
      <c r="I46" s="9">
        <f t="shared" si="9"/>
        <v>4322555280000</v>
      </c>
      <c r="J46" s="9">
        <v>205753590000</v>
      </c>
      <c r="K46" s="10">
        <v>1025</v>
      </c>
      <c r="L46" s="9">
        <v>3308.2510000000002</v>
      </c>
      <c r="M46" s="9">
        <v>3308.2510000000002</v>
      </c>
      <c r="N46" s="9">
        <v>560.95600000000002</v>
      </c>
      <c r="O46" s="9">
        <v>495.10399999999998</v>
      </c>
      <c r="P46" s="9">
        <v>0</v>
      </c>
      <c r="Q46" s="9">
        <v>71.738</v>
      </c>
      <c r="R46" s="9" t="s">
        <v>67</v>
      </c>
      <c r="S46" s="9">
        <v>42.215000000000003</v>
      </c>
      <c r="T46" s="9">
        <v>217.17400000000001</v>
      </c>
      <c r="U46" s="9">
        <v>713.95399999999995</v>
      </c>
      <c r="V46" s="9">
        <v>619.37</v>
      </c>
      <c r="W46" s="9">
        <v>2022</v>
      </c>
      <c r="X46" s="9">
        <v>38906.36</v>
      </c>
      <c r="Y46" s="9">
        <v>27976.733</v>
      </c>
      <c r="Z46" s="9">
        <v>10929.626</v>
      </c>
      <c r="AA46" s="9">
        <v>1282.9490000000001</v>
      </c>
      <c r="AB46" s="9">
        <v>3678.9470000000001</v>
      </c>
      <c r="AC46" s="9">
        <v>17912.05</v>
      </c>
      <c r="AD46" s="9">
        <v>67.713999999999999</v>
      </c>
      <c r="AE46" s="9">
        <v>27690.636999999999</v>
      </c>
      <c r="AF46" s="9">
        <v>0.313</v>
      </c>
      <c r="AG46" s="9">
        <v>1143.944</v>
      </c>
      <c r="AH46" s="9">
        <v>-669.93600000000004</v>
      </c>
      <c r="AI46" s="9">
        <v>-258.541</v>
      </c>
      <c r="AJ46" s="9">
        <v>-308.93299999999999</v>
      </c>
      <c r="AK46" s="9" t="s">
        <v>62</v>
      </c>
      <c r="AL46" s="3">
        <v>1</v>
      </c>
      <c r="AM46" s="3">
        <v>1</v>
      </c>
      <c r="AN46" s="10">
        <f t="shared" si="8"/>
        <v>0.2318746085520168</v>
      </c>
      <c r="AO46" s="3" t="s">
        <v>137</v>
      </c>
      <c r="AP46" s="3">
        <v>14</v>
      </c>
      <c r="AQ46" s="3"/>
      <c r="AR46" s="3"/>
      <c r="AS46" s="3"/>
      <c r="AT46" s="3"/>
      <c r="AU46" s="3"/>
      <c r="AV46" s="3"/>
    </row>
    <row r="47" spans="1:48" ht="15.4" x14ac:dyDescent="0.35">
      <c r="A47" s="9" t="s">
        <v>15</v>
      </c>
      <c r="B47" s="2">
        <v>2020</v>
      </c>
      <c r="C47" s="10"/>
      <c r="D47" s="10" t="s">
        <v>67</v>
      </c>
      <c r="E47" s="10">
        <v>0.37390000000000001</v>
      </c>
      <c r="F47" s="10">
        <v>1.8599999999999998E-2</v>
      </c>
      <c r="G47" s="3">
        <v>66994950</v>
      </c>
      <c r="H47" s="9">
        <v>10000</v>
      </c>
      <c r="I47" s="9">
        <f t="shared" si="9"/>
        <v>669949500000</v>
      </c>
      <c r="J47" s="9">
        <v>2796136395</v>
      </c>
      <c r="K47" s="10">
        <v>264</v>
      </c>
      <c r="L47" s="9">
        <v>1696.009</v>
      </c>
      <c r="M47" s="9">
        <v>1695.319</v>
      </c>
      <c r="N47" s="9">
        <v>29.905999999999999</v>
      </c>
      <c r="O47" s="9">
        <v>18.96</v>
      </c>
      <c r="P47" s="9">
        <v>44.146000000000001</v>
      </c>
      <c r="Q47" s="9">
        <v>55.287999999999997</v>
      </c>
      <c r="R47" s="9">
        <v>336.89299999999997</v>
      </c>
      <c r="S47" s="9">
        <v>42.87</v>
      </c>
      <c r="T47" s="9">
        <v>35.034999999999997</v>
      </c>
      <c r="U47" s="9"/>
      <c r="V47" s="9">
        <v>760.2</v>
      </c>
      <c r="W47" s="9">
        <v>1192.557</v>
      </c>
      <c r="X47" s="9">
        <v>2202.4270000000001</v>
      </c>
      <c r="Y47" s="9">
        <v>691.43700000000001</v>
      </c>
      <c r="Z47" s="9">
        <v>1510.989</v>
      </c>
      <c r="AA47" s="9">
        <v>634.60799999999995</v>
      </c>
      <c r="AB47" s="9">
        <v>602.66399999999999</v>
      </c>
      <c r="AC47" s="9">
        <v>4.08</v>
      </c>
      <c r="AD47" s="9">
        <v>252.33099999999999</v>
      </c>
      <c r="AE47" s="9">
        <v>1567.819</v>
      </c>
      <c r="AF47" s="9">
        <v>34.932000000000002</v>
      </c>
      <c r="AG47" s="9">
        <v>358.93299999999999</v>
      </c>
      <c r="AH47" s="9">
        <v>-345.40899999999999</v>
      </c>
      <c r="AI47" s="9">
        <v>340.15899999999999</v>
      </c>
      <c r="AJ47" s="9">
        <v>32.664000000000001</v>
      </c>
      <c r="AK47" s="9">
        <v>2.2549999999999999</v>
      </c>
      <c r="AL47" s="3">
        <v>1</v>
      </c>
      <c r="AM47" s="3">
        <v>1</v>
      </c>
      <c r="AN47" s="10">
        <f t="shared" si="8"/>
        <v>-0.4873396849271715</v>
      </c>
      <c r="AO47" s="3">
        <v>1229</v>
      </c>
      <c r="AP47" s="3">
        <v>21</v>
      </c>
      <c r="AQ47" s="3"/>
      <c r="AR47" s="3"/>
      <c r="AS47" s="3"/>
      <c r="AT47" s="3"/>
      <c r="AU47" s="3"/>
      <c r="AV47" s="3"/>
    </row>
    <row r="48" spans="1:48" ht="15.4" x14ac:dyDescent="0.35">
      <c r="A48" s="9" t="s">
        <v>15</v>
      </c>
      <c r="B48" s="3">
        <v>2021</v>
      </c>
      <c r="C48" s="10"/>
      <c r="D48" s="10">
        <v>0</v>
      </c>
      <c r="E48" s="10"/>
      <c r="F48" s="10"/>
      <c r="G48" s="3">
        <v>67674150</v>
      </c>
      <c r="H48" s="9">
        <v>10000</v>
      </c>
      <c r="I48" s="9">
        <f t="shared" si="9"/>
        <v>676741500000</v>
      </c>
      <c r="J48" s="9">
        <v>3414280</v>
      </c>
      <c r="K48" s="10">
        <v>551</v>
      </c>
      <c r="L48" s="9">
        <v>1846.47</v>
      </c>
      <c r="M48" s="9">
        <v>1846.47</v>
      </c>
      <c r="N48" s="9">
        <v>29.891999999999999</v>
      </c>
      <c r="O48" s="9">
        <v>22.85</v>
      </c>
      <c r="P48" s="9">
        <v>51.213000000000001</v>
      </c>
      <c r="Q48" s="9">
        <v>58.959000000000003</v>
      </c>
      <c r="R48" s="9">
        <v>451.67399999999998</v>
      </c>
      <c r="S48" s="9">
        <v>14.528</v>
      </c>
      <c r="T48" s="9">
        <v>32.759</v>
      </c>
      <c r="U48" s="9"/>
      <c r="V48" s="9">
        <v>1206.5820000000001</v>
      </c>
      <c r="W48" s="9">
        <v>1189.8720000000001</v>
      </c>
      <c r="X48" s="9">
        <v>2518.1959999999999</v>
      </c>
      <c r="Y48" s="9">
        <v>964.70100000000002</v>
      </c>
      <c r="Z48" s="9">
        <v>1553.4949999999999</v>
      </c>
      <c r="AA48" s="9">
        <v>879.95100000000002</v>
      </c>
      <c r="AB48" s="9">
        <v>886.42399999999998</v>
      </c>
      <c r="AC48" s="9">
        <v>4.5350000000000001</v>
      </c>
      <c r="AD48" s="9">
        <v>503.49400000000003</v>
      </c>
      <c r="AE48" s="9">
        <v>1215.184</v>
      </c>
      <c r="AF48" s="9">
        <v>34.642000000000003</v>
      </c>
      <c r="AG48" s="9">
        <v>35.11</v>
      </c>
      <c r="AH48" s="9">
        <v>-176.09200000000001</v>
      </c>
      <c r="AI48" s="9">
        <v>196.34100000000001</v>
      </c>
      <c r="AJ48" s="9">
        <v>33.954999999999998</v>
      </c>
      <c r="AK48" s="9">
        <v>15.481999999999999</v>
      </c>
      <c r="AL48" s="3">
        <v>1</v>
      </c>
      <c r="AM48" s="3">
        <v>1</v>
      </c>
      <c r="AN48" s="10">
        <f t="shared" si="8"/>
        <v>8.8714741490168988E-2</v>
      </c>
      <c r="AO48" s="3">
        <v>1344</v>
      </c>
      <c r="AP48" s="3">
        <v>22</v>
      </c>
      <c r="AQ48" s="3"/>
      <c r="AR48" s="3"/>
      <c r="AS48" s="3"/>
      <c r="AT48" s="3"/>
      <c r="AU48" s="3"/>
      <c r="AV48" s="3"/>
    </row>
    <row r="49" spans="1:48" ht="15.4" x14ac:dyDescent="0.35">
      <c r="A49" s="9" t="s">
        <v>15</v>
      </c>
      <c r="B49" s="2">
        <v>2022</v>
      </c>
      <c r="C49" s="10"/>
      <c r="D49" s="10">
        <v>0</v>
      </c>
      <c r="E49" s="10"/>
      <c r="F49" s="10"/>
      <c r="G49" s="3">
        <v>67674150</v>
      </c>
      <c r="H49" s="9">
        <v>10000</v>
      </c>
      <c r="I49" s="9">
        <f t="shared" si="9"/>
        <v>676741500000</v>
      </c>
      <c r="J49" s="9">
        <v>45479930000</v>
      </c>
      <c r="K49" s="10">
        <v>316</v>
      </c>
      <c r="L49" s="9">
        <v>2041.008</v>
      </c>
      <c r="M49" s="9">
        <v>2041.008</v>
      </c>
      <c r="N49" s="9">
        <v>38.237000000000002</v>
      </c>
      <c r="O49" s="9">
        <v>44.673000000000002</v>
      </c>
      <c r="P49" s="9">
        <v>73.643000000000001</v>
      </c>
      <c r="Q49" s="9">
        <v>60.779000000000003</v>
      </c>
      <c r="R49" s="9">
        <v>428.64800000000002</v>
      </c>
      <c r="S49" s="9">
        <v>36.052</v>
      </c>
      <c r="T49" s="9">
        <v>18.119</v>
      </c>
      <c r="U49" s="9"/>
      <c r="V49" s="9">
        <v>1166.846</v>
      </c>
      <c r="W49" s="9">
        <v>1829.9659999999999</v>
      </c>
      <c r="X49" s="9">
        <v>2542.0619999999999</v>
      </c>
      <c r="Y49" s="9">
        <v>889.48400000000004</v>
      </c>
      <c r="Z49" s="9">
        <v>1652.578</v>
      </c>
      <c r="AA49" s="9">
        <v>1117.223</v>
      </c>
      <c r="AB49" s="9">
        <v>830.16399999999999</v>
      </c>
      <c r="AC49" s="9">
        <v>2.7349999999999999</v>
      </c>
      <c r="AD49" s="9">
        <v>759.82899999999995</v>
      </c>
      <c r="AE49" s="9">
        <v>919.178</v>
      </c>
      <c r="AF49" s="9">
        <v>46.26</v>
      </c>
      <c r="AG49" s="9">
        <v>-35.156999999999996</v>
      </c>
      <c r="AH49" s="9">
        <v>-58.054000000000002</v>
      </c>
      <c r="AI49" s="9">
        <v>57.969000000000001</v>
      </c>
      <c r="AJ49" s="9">
        <v>16.661000000000001</v>
      </c>
      <c r="AK49" s="9">
        <v>2.2469999999999999</v>
      </c>
      <c r="AL49" s="3">
        <v>1</v>
      </c>
      <c r="AM49" s="3">
        <v>1</v>
      </c>
      <c r="AN49" s="10">
        <f t="shared" si="8"/>
        <v>0.10535670766381258</v>
      </c>
      <c r="AO49" s="3">
        <v>1134</v>
      </c>
      <c r="AP49" s="3">
        <v>23</v>
      </c>
      <c r="AQ49" s="3"/>
      <c r="AR49" s="3"/>
      <c r="AS49" s="3"/>
      <c r="AT49" s="3"/>
      <c r="AU49" s="3"/>
      <c r="AV49" s="3"/>
    </row>
    <row r="50" spans="1:48" ht="15.4" x14ac:dyDescent="0.35">
      <c r="A50" s="9" t="s">
        <v>15</v>
      </c>
      <c r="B50" s="3">
        <v>2023</v>
      </c>
      <c r="C50" s="10"/>
      <c r="D50" s="10">
        <v>0</v>
      </c>
      <c r="E50" s="10">
        <v>0.22339999999999999</v>
      </c>
      <c r="F50" s="10" t="s">
        <v>67</v>
      </c>
      <c r="G50" s="3">
        <v>74547993</v>
      </c>
      <c r="H50" s="9">
        <v>10000</v>
      </c>
      <c r="I50" s="9">
        <f t="shared" si="9"/>
        <v>745479930000</v>
      </c>
      <c r="J50" s="9">
        <v>45479930000</v>
      </c>
      <c r="K50" s="10">
        <v>316</v>
      </c>
      <c r="L50" s="9">
        <v>1807.6310000000001</v>
      </c>
      <c r="M50" s="9">
        <v>1807.6310000000001</v>
      </c>
      <c r="N50" s="9">
        <v>38.237000000000002</v>
      </c>
      <c r="O50" s="9">
        <v>30.129000000000001</v>
      </c>
      <c r="P50" s="9">
        <v>55.600999999999999</v>
      </c>
      <c r="Q50" s="9">
        <v>61.274999999999999</v>
      </c>
      <c r="R50" s="9">
        <v>428.64800000000002</v>
      </c>
      <c r="S50" s="9">
        <v>36.052</v>
      </c>
      <c r="T50" s="9">
        <v>18.119</v>
      </c>
      <c r="U50" s="9"/>
      <c r="V50" s="9">
        <v>1166.846</v>
      </c>
      <c r="W50" s="9">
        <v>1627.32</v>
      </c>
      <c r="X50" s="9">
        <v>2542.0619999999999</v>
      </c>
      <c r="Y50" s="9">
        <v>889.48400000000004</v>
      </c>
      <c r="Z50" s="9">
        <v>1652.578</v>
      </c>
      <c r="AA50" s="9">
        <v>1117.223</v>
      </c>
      <c r="AB50" s="9">
        <v>830.16399999999999</v>
      </c>
      <c r="AC50" s="9">
        <v>2.7349999999999999</v>
      </c>
      <c r="AD50" s="9">
        <v>759.82899999999995</v>
      </c>
      <c r="AE50" s="9">
        <v>919.178</v>
      </c>
      <c r="AF50" s="9">
        <v>46.26</v>
      </c>
      <c r="AG50" s="9">
        <v>-35.156999999999996</v>
      </c>
      <c r="AH50" s="9">
        <v>-58.054000000000002</v>
      </c>
      <c r="AI50" s="9">
        <v>57.969000000000001</v>
      </c>
      <c r="AJ50" s="9">
        <v>16.661000000000001</v>
      </c>
      <c r="AK50" s="9">
        <v>2.2469999999999999</v>
      </c>
      <c r="AL50" s="3">
        <v>1</v>
      </c>
      <c r="AM50" s="3">
        <v>1</v>
      </c>
      <c r="AN50" s="10">
        <f t="shared" si="8"/>
        <v>-0.11434399081238288</v>
      </c>
      <c r="AO50" s="3">
        <v>1134</v>
      </c>
      <c r="AP50" s="3">
        <v>24</v>
      </c>
      <c r="AQ50" s="3"/>
      <c r="AR50" s="3"/>
      <c r="AS50" s="3"/>
      <c r="AT50" s="3"/>
      <c r="AU50" s="3"/>
      <c r="AV50" s="3"/>
    </row>
    <row r="51" spans="1:48" ht="15.4" x14ac:dyDescent="0.35">
      <c r="A51" s="9" t="s">
        <v>15</v>
      </c>
      <c r="B51" s="2">
        <v>2024</v>
      </c>
      <c r="C51" s="10"/>
      <c r="D51" s="10">
        <v>0</v>
      </c>
      <c r="E51" s="10">
        <v>0.22339999999999999</v>
      </c>
      <c r="F51" s="10" t="s">
        <v>67</v>
      </c>
      <c r="G51" s="3">
        <v>80135051</v>
      </c>
      <c r="H51" s="9">
        <v>10000</v>
      </c>
      <c r="I51" s="9">
        <f t="shared" si="9"/>
        <v>801350510000</v>
      </c>
      <c r="J51" s="9">
        <v>55870580000</v>
      </c>
      <c r="K51" s="10">
        <v>1475</v>
      </c>
      <c r="L51" s="9">
        <v>2692.3980000000001</v>
      </c>
      <c r="M51" s="9">
        <v>2692.3980000000001</v>
      </c>
      <c r="N51" s="9">
        <v>151.03299999999999</v>
      </c>
      <c r="O51" s="9">
        <v>121.358</v>
      </c>
      <c r="P51" s="9">
        <v>65.7</v>
      </c>
      <c r="Q51" s="9">
        <v>83.650999999999996</v>
      </c>
      <c r="R51" s="9">
        <v>842.08799999999997</v>
      </c>
      <c r="S51" s="9">
        <v>38.29</v>
      </c>
      <c r="T51" s="9">
        <v>50.804000000000002</v>
      </c>
      <c r="U51" s="9"/>
      <c r="V51" s="9">
        <v>1647.8040000000001</v>
      </c>
      <c r="W51" s="9">
        <v>2350.2860000000001</v>
      </c>
      <c r="X51" s="9">
        <v>2970.2579999999998</v>
      </c>
      <c r="Y51" s="9">
        <v>1202.1659999999999</v>
      </c>
      <c r="Z51" s="9">
        <v>1768.0920000000001</v>
      </c>
      <c r="AA51" s="9">
        <v>1593.433</v>
      </c>
      <c r="AB51" s="9">
        <v>1170.2190000000001</v>
      </c>
      <c r="AC51" s="9">
        <v>6.335</v>
      </c>
      <c r="AD51" s="9">
        <v>1078.6510000000001</v>
      </c>
      <c r="AE51" s="9">
        <v>821.79200000000003</v>
      </c>
      <c r="AF51" s="9">
        <v>44.072000000000003</v>
      </c>
      <c r="AG51" s="9">
        <v>-72.590999999999994</v>
      </c>
      <c r="AH51" s="9">
        <v>89.09</v>
      </c>
      <c r="AI51" s="9">
        <v>16.056999999999999</v>
      </c>
      <c r="AJ51" s="9">
        <v>61.218000000000004</v>
      </c>
      <c r="AK51" s="9">
        <v>2.2410000000000001</v>
      </c>
      <c r="AL51" s="3">
        <v>1</v>
      </c>
      <c r="AM51" s="3">
        <v>1</v>
      </c>
      <c r="AN51" s="10">
        <f t="shared" si="8"/>
        <v>0.48946217452566371</v>
      </c>
      <c r="AO51" s="3">
        <v>1067</v>
      </c>
      <c r="AP51" s="3">
        <v>25</v>
      </c>
      <c r="AQ51" s="3"/>
      <c r="AR51" s="3"/>
      <c r="AS51" s="3"/>
      <c r="AT51" s="3"/>
      <c r="AU51" s="3"/>
      <c r="AV51" s="3"/>
    </row>
    <row r="52" spans="1:48" ht="15.4" x14ac:dyDescent="0.35">
      <c r="A52" s="9" t="s">
        <v>20</v>
      </c>
      <c r="B52" s="3">
        <v>2020</v>
      </c>
      <c r="C52" s="17">
        <v>6.0000000000000001E-3</v>
      </c>
      <c r="D52" s="3">
        <v>0</v>
      </c>
      <c r="E52" s="9">
        <v>0.9</v>
      </c>
      <c r="F52" s="9">
        <v>0.73</v>
      </c>
      <c r="G52" s="4">
        <v>17586988</v>
      </c>
      <c r="H52" s="9" t="s">
        <v>62</v>
      </c>
      <c r="I52" s="9">
        <v>1231089160000</v>
      </c>
      <c r="J52" s="9">
        <v>70347952000</v>
      </c>
      <c r="K52" s="10">
        <v>10823</v>
      </c>
      <c r="L52" s="5">
        <v>1790.76</v>
      </c>
      <c r="M52" s="5">
        <v>1634.55</v>
      </c>
      <c r="N52" s="5">
        <v>214.49</v>
      </c>
      <c r="O52" s="9">
        <v>194.81</v>
      </c>
      <c r="P52" s="9">
        <v>154.59</v>
      </c>
      <c r="Q52" s="9">
        <v>176.21</v>
      </c>
      <c r="R52" s="9" t="s">
        <v>62</v>
      </c>
      <c r="S52" s="9" t="s">
        <v>62</v>
      </c>
      <c r="T52" s="9" t="s">
        <v>62</v>
      </c>
      <c r="U52" s="9" t="s">
        <v>62</v>
      </c>
      <c r="V52" s="9" t="s">
        <v>62</v>
      </c>
      <c r="W52" s="9">
        <v>1076.3599999999999</v>
      </c>
      <c r="X52" s="9">
        <v>1801.55</v>
      </c>
      <c r="Y52" s="9">
        <v>600.1</v>
      </c>
      <c r="Z52" s="9">
        <v>1201.44</v>
      </c>
      <c r="AA52" s="9">
        <v>866.66</v>
      </c>
      <c r="AB52" s="9">
        <v>534.54999999999995</v>
      </c>
      <c r="AC52" s="9">
        <v>33.200000000000003</v>
      </c>
      <c r="AD52" s="9">
        <v>317.3</v>
      </c>
      <c r="AE52" s="9">
        <v>556.12</v>
      </c>
      <c r="AF52" s="9">
        <v>218.94</v>
      </c>
      <c r="AG52" s="9">
        <v>173.73</v>
      </c>
      <c r="AH52" s="9">
        <v>-103.34</v>
      </c>
      <c r="AI52" s="9">
        <v>102.5</v>
      </c>
      <c r="AJ52" s="9">
        <v>262.07</v>
      </c>
      <c r="AK52" s="9" t="s">
        <v>62</v>
      </c>
      <c r="AL52" s="3">
        <v>1</v>
      </c>
      <c r="AM52" s="3">
        <v>1</v>
      </c>
      <c r="AN52" s="10">
        <v>7.9000000000000001E-2</v>
      </c>
      <c r="AO52" s="3">
        <v>718</v>
      </c>
      <c r="AP52" s="3">
        <v>52</v>
      </c>
      <c r="AQ52" s="3"/>
      <c r="AR52" s="3"/>
      <c r="AS52" s="3"/>
      <c r="AT52" s="3"/>
      <c r="AU52" s="3"/>
      <c r="AV52" s="3"/>
    </row>
    <row r="53" spans="1:48" ht="15.4" x14ac:dyDescent="0.35">
      <c r="A53" s="9" t="s">
        <v>20</v>
      </c>
      <c r="B53" s="3">
        <v>2021</v>
      </c>
      <c r="C53" s="18">
        <v>0.57999999999999996</v>
      </c>
      <c r="D53" s="9">
        <v>0</v>
      </c>
      <c r="E53" s="17">
        <v>0.89</v>
      </c>
      <c r="F53" s="9">
        <v>0.76</v>
      </c>
      <c r="G53" s="3">
        <v>17586988</v>
      </c>
      <c r="H53" s="9" t="s">
        <v>62</v>
      </c>
      <c r="I53" s="9">
        <v>0</v>
      </c>
      <c r="J53" s="9">
        <v>0</v>
      </c>
      <c r="K53" s="10">
        <v>12481</v>
      </c>
      <c r="L53" s="9">
        <v>2082.59</v>
      </c>
      <c r="M53" s="9">
        <v>1928.6</v>
      </c>
      <c r="N53" s="9">
        <v>247.61</v>
      </c>
      <c r="O53" s="9">
        <v>219.34</v>
      </c>
      <c r="P53" s="9">
        <v>169.51</v>
      </c>
      <c r="Q53" s="9">
        <v>0</v>
      </c>
      <c r="R53" s="9" t="s">
        <v>62</v>
      </c>
      <c r="S53" s="9" t="s">
        <v>62</v>
      </c>
      <c r="T53" s="9" t="s">
        <v>62</v>
      </c>
      <c r="U53" s="9" t="s">
        <v>62</v>
      </c>
      <c r="V53" s="9" t="s">
        <v>62</v>
      </c>
      <c r="W53" s="9">
        <v>1308.0899999999999</v>
      </c>
      <c r="X53" s="9">
        <v>1931.95</v>
      </c>
      <c r="Y53" s="9">
        <v>627.32000000000005</v>
      </c>
      <c r="Z53" s="9">
        <v>1304.6300000000001</v>
      </c>
      <c r="AA53" s="9">
        <v>1043.92</v>
      </c>
      <c r="AB53" s="9">
        <v>595.37</v>
      </c>
      <c r="AC53" s="9">
        <v>31.98</v>
      </c>
      <c r="AD53" s="9">
        <v>422.41</v>
      </c>
      <c r="AE53" s="9">
        <v>520.07000000000005</v>
      </c>
      <c r="AF53" s="9">
        <v>75.95</v>
      </c>
      <c r="AG53" s="9" t="s">
        <v>62</v>
      </c>
      <c r="AH53" s="9" t="s">
        <v>62</v>
      </c>
      <c r="AI53" s="9" t="s">
        <v>62</v>
      </c>
      <c r="AJ53" s="9">
        <v>311.75</v>
      </c>
      <c r="AK53" s="9" t="s">
        <v>62</v>
      </c>
      <c r="AL53" s="3">
        <v>1</v>
      </c>
      <c r="AM53" s="3">
        <v>1</v>
      </c>
      <c r="AN53" s="10">
        <v>0.16</v>
      </c>
      <c r="AO53" s="9" t="s">
        <v>62</v>
      </c>
      <c r="AP53" s="3">
        <v>53</v>
      </c>
      <c r="AQ53" s="3"/>
      <c r="AR53" s="3"/>
      <c r="AS53" s="3"/>
      <c r="AT53" s="3"/>
      <c r="AU53" s="3"/>
      <c r="AV53" s="3"/>
    </row>
    <row r="54" spans="1:48" ht="15.4" x14ac:dyDescent="0.35">
      <c r="A54" s="9" t="s">
        <v>20</v>
      </c>
      <c r="B54" s="3">
        <v>2022</v>
      </c>
      <c r="C54" s="9">
        <v>0.57999999999999996</v>
      </c>
      <c r="D54" s="9">
        <v>0</v>
      </c>
      <c r="E54" s="9">
        <v>0.88</v>
      </c>
      <c r="F54" s="9">
        <v>0.87</v>
      </c>
      <c r="G54" s="3">
        <v>17586988</v>
      </c>
      <c r="H54" s="9" t="s">
        <v>62</v>
      </c>
      <c r="I54" s="9">
        <v>0</v>
      </c>
      <c r="J54" s="9">
        <v>123021612000</v>
      </c>
      <c r="K54" s="10">
        <v>12555</v>
      </c>
      <c r="L54" s="9">
        <v>2030.66</v>
      </c>
      <c r="M54" s="9">
        <v>1889.06</v>
      </c>
      <c r="N54" s="9">
        <v>262.45</v>
      </c>
      <c r="O54" s="9">
        <v>226.88</v>
      </c>
      <c r="P54" s="9">
        <v>177.88</v>
      </c>
      <c r="Q54" s="9">
        <v>179.23</v>
      </c>
      <c r="R54" s="9" t="s">
        <v>62</v>
      </c>
      <c r="S54" s="9" t="s">
        <v>62</v>
      </c>
      <c r="T54" s="9" t="s">
        <v>62</v>
      </c>
      <c r="U54" s="9" t="s">
        <v>62</v>
      </c>
      <c r="V54" s="9" t="s">
        <v>62</v>
      </c>
      <c r="W54" s="9">
        <v>1256.0899999999999</v>
      </c>
      <c r="X54" s="9">
        <v>2025.72</v>
      </c>
      <c r="Y54" s="9">
        <v>674.47</v>
      </c>
      <c r="Z54" s="9">
        <v>1351.25</v>
      </c>
      <c r="AA54" s="9">
        <v>1175.48</v>
      </c>
      <c r="AB54" s="9">
        <v>642.83000000000004</v>
      </c>
      <c r="AC54" s="9">
        <v>31.63</v>
      </c>
      <c r="AD54" s="9">
        <v>466.32</v>
      </c>
      <c r="AE54" s="9">
        <v>508.58</v>
      </c>
      <c r="AF54" s="9">
        <v>212.01</v>
      </c>
      <c r="AG54" s="9">
        <v>210.77</v>
      </c>
      <c r="AH54" s="9">
        <v>-27.99</v>
      </c>
      <c r="AI54" s="9">
        <v>38.04</v>
      </c>
      <c r="AJ54" s="9">
        <v>407.89</v>
      </c>
      <c r="AK54" s="9" t="s">
        <v>62</v>
      </c>
      <c r="AL54" s="3">
        <v>1</v>
      </c>
      <c r="AM54" s="3">
        <v>1</v>
      </c>
      <c r="AN54" s="10">
        <v>-0.02</v>
      </c>
      <c r="AO54" s="3">
        <v>760</v>
      </c>
      <c r="AP54" s="3">
        <v>54</v>
      </c>
      <c r="AQ54" s="3"/>
      <c r="AR54" s="3"/>
      <c r="AS54" s="3"/>
      <c r="AT54" s="3"/>
      <c r="AU54" s="3"/>
      <c r="AV54" s="3"/>
    </row>
    <row r="55" spans="1:48" ht="15.4" x14ac:dyDescent="0.35">
      <c r="A55" s="9" t="s">
        <v>20</v>
      </c>
      <c r="B55" s="3">
        <v>2023</v>
      </c>
      <c r="C55" s="9" t="s">
        <v>62</v>
      </c>
      <c r="D55" s="9" t="s">
        <v>62</v>
      </c>
      <c r="E55" s="9" t="s">
        <v>62</v>
      </c>
      <c r="F55" s="9" t="s">
        <v>62</v>
      </c>
      <c r="G55" s="9" t="s">
        <v>62</v>
      </c>
      <c r="H55" s="9" t="s">
        <v>62</v>
      </c>
      <c r="I55" s="9">
        <v>0</v>
      </c>
      <c r="J55" s="9">
        <v>0</v>
      </c>
      <c r="K55" s="10">
        <v>0</v>
      </c>
      <c r="L55" s="9">
        <v>2206.4699999999998</v>
      </c>
      <c r="M55" s="9">
        <v>2035.47</v>
      </c>
      <c r="N55" s="9">
        <v>256.52</v>
      </c>
      <c r="O55" s="9">
        <v>230.12</v>
      </c>
      <c r="P55" s="9">
        <v>182.48</v>
      </c>
      <c r="Q55" s="9">
        <v>172.75</v>
      </c>
      <c r="R55" s="9" t="s">
        <v>62</v>
      </c>
      <c r="S55" s="9" t="s">
        <v>62</v>
      </c>
      <c r="T55" s="9" t="s">
        <v>62</v>
      </c>
      <c r="U55" s="9" t="s">
        <v>62</v>
      </c>
      <c r="V55" s="9" t="s">
        <v>62</v>
      </c>
      <c r="W55" s="9">
        <v>1400.79</v>
      </c>
      <c r="X55" s="9">
        <v>2221.16</v>
      </c>
      <c r="Y55" s="9">
        <v>775.02</v>
      </c>
      <c r="Z55" s="9">
        <v>1446.13</v>
      </c>
      <c r="AA55" s="9">
        <v>1366.01</v>
      </c>
      <c r="AB55" s="9">
        <v>742.91</v>
      </c>
      <c r="AC55" s="9">
        <v>32.11</v>
      </c>
      <c r="AD55" s="9">
        <v>438.15</v>
      </c>
      <c r="AE55" s="9">
        <v>523.16999999999996</v>
      </c>
      <c r="AF55" s="9">
        <v>219.76</v>
      </c>
      <c r="AG55" s="9">
        <v>251.07</v>
      </c>
      <c r="AH55" s="9">
        <v>-186.77</v>
      </c>
      <c r="AI55" s="9" t="s">
        <v>62</v>
      </c>
      <c r="AJ55" s="9" t="s">
        <v>62</v>
      </c>
      <c r="AK55" s="9" t="s">
        <v>62</v>
      </c>
      <c r="AL55" s="3">
        <v>1</v>
      </c>
      <c r="AM55" s="3">
        <v>1</v>
      </c>
      <c r="AN55" s="10">
        <v>0.09</v>
      </c>
      <c r="AO55" s="9" t="s">
        <v>62</v>
      </c>
      <c r="AP55" s="3">
        <v>55</v>
      </c>
      <c r="AQ55" s="3"/>
      <c r="AR55" s="3"/>
      <c r="AS55" s="3"/>
      <c r="AT55" s="3"/>
      <c r="AU55" s="3"/>
      <c r="AV55" s="3"/>
    </row>
    <row r="56" spans="1:48" ht="15.4" x14ac:dyDescent="0.35">
      <c r="A56" s="9" t="s">
        <v>20</v>
      </c>
      <c r="B56" s="3">
        <v>2024</v>
      </c>
      <c r="C56" s="9" t="s">
        <v>62</v>
      </c>
      <c r="D56" s="9" t="s">
        <v>62</v>
      </c>
      <c r="E56" s="9" t="s">
        <v>62</v>
      </c>
      <c r="F56" s="9" t="s">
        <v>62</v>
      </c>
      <c r="G56" s="9" t="s">
        <v>62</v>
      </c>
      <c r="H56" s="9" t="s">
        <v>62</v>
      </c>
      <c r="I56" s="9">
        <v>0</v>
      </c>
      <c r="J56" s="9">
        <v>0</v>
      </c>
      <c r="K56" s="10">
        <v>0</v>
      </c>
      <c r="L56" s="9">
        <v>2594.4</v>
      </c>
      <c r="M56" s="9">
        <v>2448.69</v>
      </c>
      <c r="N56" s="9">
        <v>273.22000000000003</v>
      </c>
      <c r="O56" s="9">
        <v>225.57</v>
      </c>
      <c r="P56" s="9">
        <v>235.71</v>
      </c>
      <c r="Q56" s="9">
        <v>196.3</v>
      </c>
      <c r="R56" s="9" t="s">
        <v>62</v>
      </c>
      <c r="S56" s="9" t="s">
        <v>62</v>
      </c>
      <c r="T56" s="9">
        <v>190.54</v>
      </c>
      <c r="U56" s="9">
        <v>190.5</v>
      </c>
      <c r="V56" s="9">
        <v>1701.9</v>
      </c>
      <c r="W56" s="9">
        <v>2258.58</v>
      </c>
      <c r="X56" s="9">
        <v>2154.86</v>
      </c>
      <c r="Y56" s="9">
        <v>634.21</v>
      </c>
      <c r="Z56" s="9">
        <v>1520.64</v>
      </c>
      <c r="AA56" s="9">
        <v>1290.54</v>
      </c>
      <c r="AB56" s="9">
        <v>601.58000000000004</v>
      </c>
      <c r="AC56" s="9">
        <v>32.630000000000003</v>
      </c>
      <c r="AD56" s="9">
        <v>553.66</v>
      </c>
      <c r="AE56" s="9">
        <v>546.87</v>
      </c>
      <c r="AF56" s="9">
        <v>220.91</v>
      </c>
      <c r="AG56" s="9">
        <v>12.18</v>
      </c>
      <c r="AH56" s="9">
        <v>-19.14</v>
      </c>
      <c r="AI56" s="9">
        <v>92.19</v>
      </c>
      <c r="AJ56" s="9">
        <v>278.67</v>
      </c>
      <c r="AK56" s="9" t="s">
        <v>62</v>
      </c>
      <c r="AL56" s="3">
        <v>1</v>
      </c>
      <c r="AM56" s="3">
        <v>1</v>
      </c>
      <c r="AN56" s="10">
        <v>0.18</v>
      </c>
      <c r="AO56" s="9" t="s">
        <v>62</v>
      </c>
      <c r="AP56" s="3">
        <v>56</v>
      </c>
      <c r="AQ56" s="3"/>
      <c r="AR56" s="3"/>
      <c r="AS56" s="3"/>
      <c r="AT56" s="3"/>
      <c r="AU56" s="3"/>
      <c r="AV56" s="3"/>
    </row>
    <row r="57" spans="1:48" ht="15.4" x14ac:dyDescent="0.35">
      <c r="A57" s="9" t="s">
        <v>11</v>
      </c>
      <c r="B57" s="3">
        <v>2020</v>
      </c>
      <c r="C57" s="9" t="s">
        <v>62</v>
      </c>
      <c r="D57" s="9" t="s">
        <v>62</v>
      </c>
      <c r="E57" s="9" t="s">
        <v>62</v>
      </c>
      <c r="F57" s="9" t="s">
        <v>62</v>
      </c>
      <c r="G57" s="3">
        <v>18521954</v>
      </c>
      <c r="H57" s="9" t="s">
        <v>62</v>
      </c>
      <c r="I57" s="9" t="s">
        <v>62</v>
      </c>
      <c r="J57" s="9">
        <v>55.49</v>
      </c>
      <c r="K57" s="10">
        <v>7541</v>
      </c>
      <c r="L57" s="9">
        <v>793.58</v>
      </c>
      <c r="M57" s="9" t="s">
        <v>62</v>
      </c>
      <c r="N57" s="9">
        <v>176.59</v>
      </c>
      <c r="O57" s="9">
        <v>159.46</v>
      </c>
      <c r="P57" s="9">
        <v>19.809999999999999</v>
      </c>
      <c r="Q57" s="9">
        <v>45.09</v>
      </c>
      <c r="R57" s="9" t="s">
        <v>62</v>
      </c>
      <c r="S57" s="9" t="s">
        <v>62</v>
      </c>
      <c r="T57" s="9" t="s">
        <v>62</v>
      </c>
      <c r="U57" s="9" t="s">
        <v>62</v>
      </c>
      <c r="V57" s="9" t="s">
        <v>62</v>
      </c>
      <c r="W57" s="9"/>
      <c r="X57" s="9">
        <v>1016.06</v>
      </c>
      <c r="Y57" s="9">
        <v>367.41</v>
      </c>
      <c r="Z57" s="9">
        <v>648.65</v>
      </c>
      <c r="AA57" s="9">
        <v>341.51</v>
      </c>
      <c r="AB57" s="9">
        <v>245.7</v>
      </c>
      <c r="AC57" s="9">
        <v>101.521</v>
      </c>
      <c r="AD57" s="9">
        <v>682.48699999999997</v>
      </c>
      <c r="AE57" s="9">
        <v>377.96</v>
      </c>
      <c r="AF57" s="9">
        <v>4.2300000000000004</v>
      </c>
      <c r="AG57" s="9">
        <v>185.91</v>
      </c>
      <c r="AH57" s="9">
        <v>-158.35</v>
      </c>
      <c r="AI57" s="9">
        <v>66.900000000000006</v>
      </c>
      <c r="AJ57" s="9">
        <v>172.56</v>
      </c>
      <c r="AK57" s="9" t="s">
        <v>62</v>
      </c>
      <c r="AL57" s="3" t="s">
        <v>62</v>
      </c>
      <c r="AM57" s="3" t="s">
        <v>62</v>
      </c>
      <c r="AN57" s="10">
        <v>7.0000000000000007E-2</v>
      </c>
      <c r="AO57" s="3" t="s">
        <v>62</v>
      </c>
      <c r="AP57" s="3">
        <v>31</v>
      </c>
      <c r="AQ57" s="3"/>
      <c r="AR57" s="3"/>
      <c r="AS57" s="3"/>
      <c r="AT57" s="3"/>
      <c r="AU57" s="3"/>
      <c r="AV57" s="3"/>
    </row>
    <row r="58" spans="1:48" ht="15.4" x14ac:dyDescent="0.35">
      <c r="A58" s="9" t="s">
        <v>11</v>
      </c>
      <c r="B58" s="3">
        <v>2021</v>
      </c>
      <c r="C58" s="9" t="s">
        <v>62</v>
      </c>
      <c r="D58" s="9" t="s">
        <v>62</v>
      </c>
      <c r="E58" s="9" t="s">
        <v>62</v>
      </c>
      <c r="F58" s="9" t="s">
        <v>62</v>
      </c>
      <c r="G58" s="3">
        <v>18521954</v>
      </c>
      <c r="H58" s="9" t="s">
        <v>62</v>
      </c>
      <c r="I58" s="9" t="s">
        <v>62</v>
      </c>
      <c r="J58" s="9">
        <v>64.83</v>
      </c>
      <c r="K58" s="10">
        <v>7604</v>
      </c>
      <c r="L58" s="9">
        <v>892.51</v>
      </c>
      <c r="M58" s="9" t="s">
        <v>62</v>
      </c>
      <c r="N58" s="9">
        <v>200.12</v>
      </c>
      <c r="O58" s="9">
        <v>160.78</v>
      </c>
      <c r="P58" s="9">
        <v>18.48</v>
      </c>
      <c r="Q58" s="9">
        <v>48.09</v>
      </c>
      <c r="R58" s="9" t="s">
        <v>62</v>
      </c>
      <c r="S58" s="9" t="s">
        <v>62</v>
      </c>
      <c r="T58" s="9" t="s">
        <v>62</v>
      </c>
      <c r="U58" s="9" t="s">
        <v>62</v>
      </c>
      <c r="V58" s="9" t="s">
        <v>62</v>
      </c>
      <c r="W58" s="9">
        <v>624.30999999999995</v>
      </c>
      <c r="X58" s="9">
        <v>1141.8499999999999</v>
      </c>
      <c r="Y58" s="9">
        <v>417.03</v>
      </c>
      <c r="Z58" s="9">
        <v>724.82</v>
      </c>
      <c r="AA58" s="9">
        <v>378.41</v>
      </c>
      <c r="AB58" s="9">
        <v>280.52999999999997</v>
      </c>
      <c r="AC58" s="9">
        <v>116.88</v>
      </c>
      <c r="AD58" s="9">
        <v>0.6</v>
      </c>
      <c r="AE58" s="9">
        <v>425.98</v>
      </c>
      <c r="AF58" s="9">
        <v>3.88</v>
      </c>
      <c r="AG58" s="9">
        <v>225.53</v>
      </c>
      <c r="AH58" s="9">
        <v>-181.29</v>
      </c>
      <c r="AI58" s="9">
        <v>151.26</v>
      </c>
      <c r="AJ58" s="9">
        <v>174.6</v>
      </c>
      <c r="AK58" s="9" t="s">
        <v>62</v>
      </c>
      <c r="AL58" s="3" t="s">
        <v>62</v>
      </c>
      <c r="AM58" s="3" t="s">
        <v>62</v>
      </c>
      <c r="AN58" s="10">
        <v>0.12</v>
      </c>
      <c r="AO58" s="3" t="s">
        <v>62</v>
      </c>
      <c r="AP58" s="3">
        <v>32</v>
      </c>
      <c r="AQ58" s="3"/>
      <c r="AR58" s="3"/>
      <c r="AS58" s="3"/>
      <c r="AT58" s="3"/>
      <c r="AU58" s="3"/>
      <c r="AV58" s="3"/>
    </row>
    <row r="59" spans="1:48" ht="15.4" x14ac:dyDescent="0.35">
      <c r="A59" s="9" t="s">
        <v>11</v>
      </c>
      <c r="B59" s="3">
        <v>2022</v>
      </c>
      <c r="C59" s="9" t="s">
        <v>62</v>
      </c>
      <c r="D59" s="9" t="s">
        <v>62</v>
      </c>
      <c r="E59" s="9" t="s">
        <v>62</v>
      </c>
      <c r="F59" s="9" t="s">
        <v>62</v>
      </c>
      <c r="G59" s="9" t="s">
        <v>62</v>
      </c>
      <c r="H59" s="9" t="s">
        <v>62</v>
      </c>
      <c r="I59" s="9" t="s">
        <v>62</v>
      </c>
      <c r="J59" s="9">
        <v>0</v>
      </c>
      <c r="K59" s="10">
        <v>11338</v>
      </c>
      <c r="L59" s="9">
        <v>1067.54</v>
      </c>
      <c r="M59" s="9">
        <v>1067.54</v>
      </c>
      <c r="N59" s="9">
        <v>291.66000000000003</v>
      </c>
      <c r="O59" s="9">
        <v>234.19</v>
      </c>
      <c r="P59" s="9">
        <v>19.64</v>
      </c>
      <c r="Q59" s="9">
        <v>55.41</v>
      </c>
      <c r="R59" s="9" t="s">
        <v>62</v>
      </c>
      <c r="S59" s="9" t="s">
        <v>62</v>
      </c>
      <c r="T59" s="9" t="s">
        <v>62</v>
      </c>
      <c r="U59" s="9" t="s">
        <v>62</v>
      </c>
      <c r="V59" s="9" t="s">
        <v>62</v>
      </c>
      <c r="W59" s="9">
        <v>702.3</v>
      </c>
      <c r="X59" s="9">
        <v>1238.25</v>
      </c>
      <c r="Y59" s="9">
        <v>410.31</v>
      </c>
      <c r="Z59" s="9">
        <v>827.94</v>
      </c>
      <c r="AA59" s="9">
        <v>467.45</v>
      </c>
      <c r="AB59" s="9">
        <v>292.93</v>
      </c>
      <c r="AC59" s="9">
        <v>97.76</v>
      </c>
      <c r="AD59" s="9">
        <v>1.4</v>
      </c>
      <c r="AE59" s="9">
        <v>380.23</v>
      </c>
      <c r="AF59" s="9">
        <v>3.11</v>
      </c>
      <c r="AG59" s="9">
        <v>262.83999999999997</v>
      </c>
      <c r="AH59" s="9">
        <v>-78.42</v>
      </c>
      <c r="AI59" s="9">
        <v>67.84</v>
      </c>
      <c r="AJ59" s="9">
        <v>230.68</v>
      </c>
      <c r="AK59" s="9" t="s">
        <v>62</v>
      </c>
      <c r="AL59" s="3" t="s">
        <v>62</v>
      </c>
      <c r="AM59" s="3" t="s">
        <v>62</v>
      </c>
      <c r="AN59" s="10">
        <v>0.19</v>
      </c>
      <c r="AO59" s="3" t="s">
        <v>62</v>
      </c>
      <c r="AP59" s="3">
        <v>33</v>
      </c>
      <c r="AQ59" s="3"/>
      <c r="AR59" s="3"/>
      <c r="AS59" s="3"/>
      <c r="AT59" s="3"/>
      <c r="AU59" s="3"/>
      <c r="AV59" s="3"/>
    </row>
    <row r="60" spans="1:48" ht="15.4" x14ac:dyDescent="0.35">
      <c r="A60" s="9" t="s">
        <v>11</v>
      </c>
      <c r="B60" s="3">
        <v>2023</v>
      </c>
      <c r="C60" s="9" t="s">
        <v>62</v>
      </c>
      <c r="D60" s="9" t="s">
        <v>62</v>
      </c>
      <c r="E60" s="9" t="s">
        <v>62</v>
      </c>
      <c r="F60" s="9" t="s">
        <v>62</v>
      </c>
      <c r="G60" s="9" t="s">
        <v>62</v>
      </c>
      <c r="H60" s="9" t="s">
        <v>62</v>
      </c>
      <c r="I60" s="9" t="s">
        <v>62</v>
      </c>
      <c r="J60" s="9">
        <v>100.21</v>
      </c>
      <c r="K60" s="10">
        <v>7337</v>
      </c>
      <c r="L60" s="9">
        <v>1167.23</v>
      </c>
      <c r="M60" s="9">
        <v>1167.23</v>
      </c>
      <c r="N60" s="9">
        <v>369.21</v>
      </c>
      <c r="O60" s="9">
        <v>294.57</v>
      </c>
      <c r="P60" s="9">
        <v>21.23</v>
      </c>
      <c r="Q60" s="9">
        <v>53.33</v>
      </c>
      <c r="R60" s="9" t="s">
        <v>62</v>
      </c>
      <c r="S60" s="9" t="s">
        <v>62</v>
      </c>
      <c r="T60" s="9" t="s">
        <v>62</v>
      </c>
      <c r="U60" s="9" t="s">
        <v>62</v>
      </c>
      <c r="V60" s="9" t="s">
        <v>62</v>
      </c>
      <c r="W60" s="9">
        <v>738.4</v>
      </c>
      <c r="X60" s="9">
        <v>1359.3</v>
      </c>
      <c r="Y60" s="9">
        <v>358.84</v>
      </c>
      <c r="Z60" s="9">
        <v>1000.46</v>
      </c>
      <c r="AA60" s="9">
        <v>627.95000000000005</v>
      </c>
      <c r="AB60" s="9">
        <v>270.61</v>
      </c>
      <c r="AC60" s="9">
        <v>68.66</v>
      </c>
      <c r="AD60" s="9">
        <v>0.81</v>
      </c>
      <c r="AE60" s="9">
        <v>389.11</v>
      </c>
      <c r="AF60" s="9">
        <v>2.4</v>
      </c>
      <c r="AG60" s="9">
        <v>265.01</v>
      </c>
      <c r="AH60" s="9">
        <v>-159.43</v>
      </c>
      <c r="AI60" s="9">
        <v>19.190000000000001</v>
      </c>
      <c r="AJ60" s="9">
        <v>182.78</v>
      </c>
      <c r="AK60" s="9" t="s">
        <v>62</v>
      </c>
      <c r="AL60" s="3" t="s">
        <v>62</v>
      </c>
      <c r="AM60" s="3" t="s">
        <v>62</v>
      </c>
      <c r="AN60" s="10">
        <v>0.09</v>
      </c>
      <c r="AO60" s="3" t="s">
        <v>62</v>
      </c>
      <c r="AP60" s="3">
        <v>34</v>
      </c>
      <c r="AQ60" s="3"/>
      <c r="AR60" s="3"/>
      <c r="AS60" s="3"/>
      <c r="AT60" s="3"/>
      <c r="AU60" s="3"/>
      <c r="AV60" s="3"/>
    </row>
    <row r="61" spans="1:48" ht="15.4" x14ac:dyDescent="0.35">
      <c r="A61" s="9" t="s">
        <v>11</v>
      </c>
      <c r="B61" s="3">
        <v>2024</v>
      </c>
      <c r="C61" s="9" t="s">
        <v>62</v>
      </c>
      <c r="D61" s="9" t="s">
        <v>62</v>
      </c>
      <c r="E61" s="9" t="s">
        <v>62</v>
      </c>
      <c r="F61" s="9" t="s">
        <v>62</v>
      </c>
      <c r="G61" s="3">
        <v>37043908</v>
      </c>
      <c r="H61" s="9" t="s">
        <v>62</v>
      </c>
      <c r="I61" s="9" t="s">
        <v>62</v>
      </c>
      <c r="J61" s="9">
        <v>0</v>
      </c>
      <c r="K61" s="10">
        <v>8713</v>
      </c>
      <c r="L61" s="9">
        <v>1337.31</v>
      </c>
      <c r="M61" s="9">
        <v>1337.31</v>
      </c>
      <c r="N61" s="9">
        <v>433.13</v>
      </c>
      <c r="O61" s="9">
        <v>347.24</v>
      </c>
      <c r="P61" s="9">
        <v>22.276</v>
      </c>
      <c r="Q61" s="9">
        <v>61.2</v>
      </c>
      <c r="R61" s="9" t="s">
        <v>62</v>
      </c>
      <c r="S61" s="9" t="s">
        <v>62</v>
      </c>
      <c r="T61" s="9" t="s">
        <v>62</v>
      </c>
      <c r="U61" s="9" t="s">
        <v>62</v>
      </c>
      <c r="V61" s="9" t="s">
        <v>62</v>
      </c>
      <c r="W61" s="9">
        <v>838.72</v>
      </c>
      <c r="X61" s="9">
        <v>1548.72</v>
      </c>
      <c r="Y61" s="9">
        <v>309</v>
      </c>
      <c r="Z61" s="9">
        <v>1239.72</v>
      </c>
      <c r="AA61" s="9">
        <v>842.99</v>
      </c>
      <c r="AB61" s="9">
        <v>239.23</v>
      </c>
      <c r="AC61" s="9">
        <v>45.21</v>
      </c>
      <c r="AD61" s="9">
        <v>1.74</v>
      </c>
      <c r="AE61" s="9">
        <v>352.88</v>
      </c>
      <c r="AF61" s="9">
        <v>3.36</v>
      </c>
      <c r="AG61" s="9">
        <v>381.75</v>
      </c>
      <c r="AH61" s="9">
        <v>-134.32</v>
      </c>
      <c r="AI61" s="9">
        <v>26.38</v>
      </c>
      <c r="AJ61" s="9">
        <v>278.06</v>
      </c>
      <c r="AK61" s="9" t="s">
        <v>62</v>
      </c>
      <c r="AL61" s="3" t="s">
        <v>62</v>
      </c>
      <c r="AM61" s="3" t="s">
        <v>62</v>
      </c>
      <c r="AN61" s="10">
        <v>0.15</v>
      </c>
      <c r="AO61" s="3" t="s">
        <v>62</v>
      </c>
      <c r="AP61" s="3">
        <v>35</v>
      </c>
      <c r="AQ61" s="3"/>
      <c r="AR61" s="3"/>
      <c r="AS61" s="3"/>
      <c r="AT61" s="3"/>
      <c r="AU61" s="3"/>
      <c r="AV61" s="3"/>
    </row>
    <row r="62" spans="1:48" ht="15.4" x14ac:dyDescent="0.35">
      <c r="A62" s="9" t="s">
        <v>5</v>
      </c>
      <c r="B62" s="3">
        <v>2020</v>
      </c>
      <c r="C62" s="9" t="s">
        <v>62</v>
      </c>
      <c r="D62" s="9" t="s">
        <v>62</v>
      </c>
      <c r="E62" s="9" t="s">
        <v>62</v>
      </c>
      <c r="F62" s="9" t="s">
        <v>62</v>
      </c>
      <c r="G62" s="9" t="s">
        <v>62</v>
      </c>
      <c r="H62" s="9" t="s">
        <v>62</v>
      </c>
      <c r="I62" s="9" t="s">
        <v>62</v>
      </c>
      <c r="J62" s="9">
        <v>0</v>
      </c>
      <c r="K62" s="10">
        <v>19123</v>
      </c>
      <c r="L62" s="9">
        <v>1536.83</v>
      </c>
      <c r="M62" s="9">
        <v>1536.83</v>
      </c>
      <c r="N62" s="9">
        <v>16.05</v>
      </c>
      <c r="O62" s="9">
        <v>9.7799999999999994</v>
      </c>
      <c r="P62" s="9">
        <v>20.350000000000001</v>
      </c>
      <c r="Q62" s="9">
        <v>63.83</v>
      </c>
      <c r="R62" s="9" t="s">
        <v>62</v>
      </c>
      <c r="S62" s="9" t="s">
        <v>62</v>
      </c>
      <c r="T62" s="9" t="s">
        <v>62</v>
      </c>
      <c r="U62" s="9">
        <v>0.16</v>
      </c>
      <c r="V62" s="9">
        <v>1378.23</v>
      </c>
      <c r="W62" s="9">
        <v>1378.23</v>
      </c>
      <c r="X62" s="9">
        <v>2030.67</v>
      </c>
      <c r="Y62" s="9">
        <v>1630.97</v>
      </c>
      <c r="Z62" s="9">
        <v>399.7</v>
      </c>
      <c r="AA62" s="9">
        <v>1805.7</v>
      </c>
      <c r="AB62" s="9">
        <v>1609.69</v>
      </c>
      <c r="AC62" s="9">
        <v>21.14</v>
      </c>
      <c r="AD62" s="9">
        <v>468.34</v>
      </c>
      <c r="AE62" s="9">
        <v>50.15</v>
      </c>
      <c r="AF62" s="9">
        <v>0.27</v>
      </c>
      <c r="AG62" s="9">
        <v>287.77999999999997</v>
      </c>
      <c r="AH62" s="9">
        <v>-121.52</v>
      </c>
      <c r="AI62" s="9">
        <v>13.31</v>
      </c>
      <c r="AJ62" s="9">
        <v>84.26</v>
      </c>
      <c r="AK62" s="9" t="s">
        <v>62</v>
      </c>
      <c r="AL62" s="3">
        <v>0</v>
      </c>
      <c r="AM62" s="3">
        <v>0</v>
      </c>
      <c r="AN62" s="10" t="s">
        <v>62</v>
      </c>
      <c r="AO62" s="9" t="s">
        <v>62</v>
      </c>
      <c r="AP62" s="3">
        <v>19</v>
      </c>
      <c r="AQ62" s="3"/>
      <c r="AR62" s="3"/>
      <c r="AS62" s="3"/>
      <c r="AT62" s="3"/>
      <c r="AU62" s="3"/>
      <c r="AV62" s="3"/>
    </row>
    <row r="63" spans="1:48" ht="15.4" x14ac:dyDescent="0.35">
      <c r="A63" s="9" t="s">
        <v>5</v>
      </c>
      <c r="B63" s="3">
        <v>2021</v>
      </c>
      <c r="C63" s="9" t="s">
        <v>62</v>
      </c>
      <c r="D63" s="9" t="s">
        <v>62</v>
      </c>
      <c r="E63" s="9" t="s">
        <v>62</v>
      </c>
      <c r="F63" s="9" t="s">
        <v>62</v>
      </c>
      <c r="G63" s="9" t="s">
        <v>62</v>
      </c>
      <c r="H63" s="9" t="s">
        <v>62</v>
      </c>
      <c r="I63" s="9" t="s">
        <v>62</v>
      </c>
      <c r="J63" s="9">
        <v>0</v>
      </c>
      <c r="K63" s="10">
        <v>2102.63</v>
      </c>
      <c r="L63" s="9">
        <v>934.85</v>
      </c>
      <c r="M63" s="9">
        <v>934.85</v>
      </c>
      <c r="N63" s="9">
        <v>62.56</v>
      </c>
      <c r="O63" s="9">
        <v>54.87</v>
      </c>
      <c r="P63" s="9">
        <v>0.95</v>
      </c>
      <c r="Q63" s="9">
        <v>42.7</v>
      </c>
      <c r="R63" s="9" t="s">
        <v>62</v>
      </c>
      <c r="S63" s="9" t="s">
        <v>62</v>
      </c>
      <c r="T63" s="9" t="s">
        <v>62</v>
      </c>
      <c r="U63" s="9" t="s">
        <v>62</v>
      </c>
      <c r="V63" s="9" t="s">
        <v>62</v>
      </c>
      <c r="W63" s="9" t="s">
        <v>62</v>
      </c>
      <c r="X63" s="9">
        <v>2462.6</v>
      </c>
      <c r="Y63" s="9">
        <v>1766.69</v>
      </c>
      <c r="Z63" s="9">
        <v>695.91</v>
      </c>
      <c r="AA63" s="9">
        <v>1886.01</v>
      </c>
      <c r="AB63" s="9">
        <v>1604.29</v>
      </c>
      <c r="AC63" s="9">
        <v>162.4</v>
      </c>
      <c r="AD63" s="9">
        <v>609.1</v>
      </c>
      <c r="AE63" s="9">
        <v>344.94</v>
      </c>
      <c r="AF63" s="9">
        <v>0.56000000000000005</v>
      </c>
      <c r="AG63" s="9">
        <v>-237.56</v>
      </c>
      <c r="AH63" s="9">
        <v>11.5</v>
      </c>
      <c r="AI63" s="9">
        <v>-67.87</v>
      </c>
      <c r="AJ63" s="9">
        <v>57.87</v>
      </c>
      <c r="AK63" s="9" t="s">
        <v>62</v>
      </c>
      <c r="AL63" s="3">
        <v>0</v>
      </c>
      <c r="AM63" s="3">
        <v>0</v>
      </c>
      <c r="AN63" s="10">
        <v>-0.39</v>
      </c>
      <c r="AO63" s="9" t="s">
        <v>62</v>
      </c>
      <c r="AP63" s="3">
        <v>20</v>
      </c>
      <c r="AQ63" s="3"/>
      <c r="AR63" s="3"/>
      <c r="AS63" s="3"/>
      <c r="AT63" s="3"/>
      <c r="AU63" s="3"/>
      <c r="AV63" s="3"/>
    </row>
    <row r="64" spans="1:48" ht="15.4" x14ac:dyDescent="0.35">
      <c r="A64" s="9" t="s">
        <v>5</v>
      </c>
      <c r="B64" s="3">
        <v>2022</v>
      </c>
      <c r="C64" s="9" t="s">
        <v>62</v>
      </c>
      <c r="D64" s="9" t="s">
        <v>62</v>
      </c>
      <c r="E64" s="9" t="s">
        <v>62</v>
      </c>
      <c r="F64" s="9" t="s">
        <v>62</v>
      </c>
      <c r="G64" s="9" t="s">
        <v>62</v>
      </c>
      <c r="H64" s="9" t="s">
        <v>62</v>
      </c>
      <c r="I64" s="9" t="s">
        <v>62</v>
      </c>
      <c r="J64" s="9">
        <v>0</v>
      </c>
      <c r="K64" s="10" t="s">
        <v>62</v>
      </c>
      <c r="L64" s="9">
        <v>1927.75</v>
      </c>
      <c r="M64" s="9">
        <v>1918.87</v>
      </c>
      <c r="N64" s="9">
        <v>20.98</v>
      </c>
      <c r="O64" s="9">
        <v>19.84</v>
      </c>
      <c r="P64" s="9">
        <v>0</v>
      </c>
      <c r="Q64" s="9">
        <v>61.99</v>
      </c>
      <c r="R64" s="9" t="s">
        <v>62</v>
      </c>
      <c r="S64" s="9" t="s">
        <v>62</v>
      </c>
      <c r="T64" s="9" t="s">
        <v>62</v>
      </c>
      <c r="U64" s="9" t="s">
        <v>62</v>
      </c>
      <c r="V64" s="9" t="s">
        <v>62</v>
      </c>
      <c r="W64" s="9">
        <v>1802.7</v>
      </c>
      <c r="X64" s="9">
        <v>209.37</v>
      </c>
      <c r="Y64" s="9">
        <v>2042.4</v>
      </c>
      <c r="Z64" s="9">
        <v>666.97</v>
      </c>
      <c r="AA64" s="9">
        <v>2013.25</v>
      </c>
      <c r="AB64" s="9">
        <v>1893.29</v>
      </c>
      <c r="AC64" s="9">
        <v>149.12</v>
      </c>
      <c r="AD64" s="9">
        <v>636.82000000000005</v>
      </c>
      <c r="AE64" s="9">
        <v>336.49</v>
      </c>
      <c r="AF64" s="9">
        <v>0.17</v>
      </c>
      <c r="AG64" s="9">
        <v>19.41</v>
      </c>
      <c r="AH64" s="9">
        <v>-116.64</v>
      </c>
      <c r="AI64" s="9">
        <v>14</v>
      </c>
      <c r="AJ64" s="9">
        <v>54.73</v>
      </c>
      <c r="AK64" s="9" t="s">
        <v>62</v>
      </c>
      <c r="AL64" s="3">
        <v>0</v>
      </c>
      <c r="AM64" s="3">
        <v>0</v>
      </c>
      <c r="AN64" s="10">
        <v>1.05</v>
      </c>
      <c r="AO64" s="9" t="s">
        <v>62</v>
      </c>
      <c r="AP64" s="3">
        <v>21</v>
      </c>
      <c r="AQ64" s="3"/>
      <c r="AR64" s="3"/>
      <c r="AS64" s="3"/>
      <c r="AT64" s="3"/>
      <c r="AU64" s="3"/>
      <c r="AV64" s="3"/>
    </row>
    <row r="65" spans="1:48" ht="15.4" x14ac:dyDescent="0.35">
      <c r="A65" s="9" t="s">
        <v>5</v>
      </c>
      <c r="B65" s="3">
        <v>2023</v>
      </c>
      <c r="C65" s="9">
        <v>6.0000000000000001E-3</v>
      </c>
      <c r="D65" s="9">
        <v>0</v>
      </c>
      <c r="E65" s="9">
        <v>0.9</v>
      </c>
      <c r="F65" s="9">
        <v>0.73</v>
      </c>
      <c r="G65" s="3">
        <v>17586988</v>
      </c>
      <c r="H65" s="9" t="s">
        <v>62</v>
      </c>
      <c r="I65" s="9">
        <v>1231.08</v>
      </c>
      <c r="J65" s="9">
        <v>70.34</v>
      </c>
      <c r="K65" s="10">
        <v>10823</v>
      </c>
      <c r="L65" s="9">
        <v>1790.76</v>
      </c>
      <c r="M65" s="9">
        <v>1634.55</v>
      </c>
      <c r="N65" s="9">
        <v>214.49</v>
      </c>
      <c r="O65" s="9">
        <v>194.81</v>
      </c>
      <c r="P65" s="9">
        <v>154.59</v>
      </c>
      <c r="Q65" s="9">
        <v>176.21</v>
      </c>
      <c r="R65" s="9" t="s">
        <v>62</v>
      </c>
      <c r="S65" s="9" t="s">
        <v>62</v>
      </c>
      <c r="T65" s="9" t="s">
        <v>62</v>
      </c>
      <c r="U65" s="9" t="s">
        <v>62</v>
      </c>
      <c r="V65" s="9" t="s">
        <v>62</v>
      </c>
      <c r="W65" s="9">
        <v>1076.3599999999999</v>
      </c>
      <c r="X65" s="9">
        <v>1801.55</v>
      </c>
      <c r="Y65" s="9">
        <v>600.1</v>
      </c>
      <c r="Z65" s="9">
        <v>1201.44</v>
      </c>
      <c r="AA65" s="9">
        <v>866.66</v>
      </c>
      <c r="AB65" s="9">
        <v>534.54999999999995</v>
      </c>
      <c r="AC65" s="9">
        <v>33.200000000000003</v>
      </c>
      <c r="AD65" s="9">
        <v>317.3</v>
      </c>
      <c r="AE65" s="9">
        <v>556.12</v>
      </c>
      <c r="AF65" s="9">
        <v>218.94</v>
      </c>
      <c r="AG65" s="9">
        <v>173.73</v>
      </c>
      <c r="AH65" s="9">
        <v>-103.34</v>
      </c>
      <c r="AI65" s="9">
        <v>102.5</v>
      </c>
      <c r="AJ65" s="9">
        <v>262.07</v>
      </c>
      <c r="AK65" s="9" t="s">
        <v>62</v>
      </c>
      <c r="AL65" s="3">
        <v>1</v>
      </c>
      <c r="AM65" s="3">
        <v>1</v>
      </c>
      <c r="AN65" s="10">
        <v>-7.0000000000000007E-2</v>
      </c>
      <c r="AO65" s="3">
        <v>718</v>
      </c>
      <c r="AP65" s="3">
        <v>22</v>
      </c>
      <c r="AQ65" s="3"/>
      <c r="AR65" s="3"/>
      <c r="AS65" s="3"/>
      <c r="AT65" s="3"/>
      <c r="AU65" s="3"/>
      <c r="AV65" s="3"/>
    </row>
    <row r="66" spans="1:48" ht="15.4" x14ac:dyDescent="0.35">
      <c r="A66" s="9" t="s">
        <v>5</v>
      </c>
      <c r="B66" s="3">
        <v>2024</v>
      </c>
      <c r="C66" s="9" t="s">
        <v>62</v>
      </c>
      <c r="D66" s="9" t="s">
        <v>62</v>
      </c>
      <c r="E66" s="9" t="s">
        <v>62</v>
      </c>
      <c r="F66" s="9" t="s">
        <v>62</v>
      </c>
      <c r="G66" s="3">
        <v>506819270</v>
      </c>
      <c r="H66" s="9" t="s">
        <v>62</v>
      </c>
      <c r="I66" s="9" t="s">
        <v>62</v>
      </c>
      <c r="J66" s="9">
        <v>0</v>
      </c>
      <c r="K66" s="10" t="s">
        <v>62</v>
      </c>
      <c r="L66" s="9">
        <v>1558.06</v>
      </c>
      <c r="M66" s="9">
        <v>1558.06</v>
      </c>
      <c r="N66" s="9">
        <v>17.2</v>
      </c>
      <c r="O66" s="9">
        <v>4.78</v>
      </c>
      <c r="P66" s="9">
        <v>0</v>
      </c>
      <c r="Q66" s="9">
        <v>65.38</v>
      </c>
      <c r="R66" s="9" t="s">
        <v>62</v>
      </c>
      <c r="S66" s="9" t="s">
        <v>62</v>
      </c>
      <c r="T66" s="9" t="s">
        <v>62</v>
      </c>
      <c r="U66" s="9" t="s">
        <v>62</v>
      </c>
      <c r="V66" s="9" t="s">
        <v>62</v>
      </c>
      <c r="W66" s="9">
        <v>1470.56</v>
      </c>
      <c r="X66" s="9">
        <v>3240.31</v>
      </c>
      <c r="Y66" s="9">
        <v>2579.14</v>
      </c>
      <c r="Z66" s="9">
        <v>661.17</v>
      </c>
      <c r="AA66" s="9">
        <v>2559.73</v>
      </c>
      <c r="AB66" s="9">
        <v>2459.25</v>
      </c>
      <c r="AC66" s="9">
        <v>119.89</v>
      </c>
      <c r="AD66" s="9">
        <v>627.64</v>
      </c>
      <c r="AE66" s="9">
        <v>344.39</v>
      </c>
      <c r="AF66" s="9">
        <v>292.19</v>
      </c>
      <c r="AG66" s="9">
        <v>37.799999999999997</v>
      </c>
      <c r="AH66" s="9">
        <v>-50.01</v>
      </c>
      <c r="AI66" s="9">
        <v>26.54</v>
      </c>
      <c r="AJ66" s="9">
        <v>236.27</v>
      </c>
      <c r="AK66" s="9" t="s">
        <v>62</v>
      </c>
      <c r="AL66" s="3">
        <v>1</v>
      </c>
      <c r="AM66" s="3">
        <v>1</v>
      </c>
      <c r="AN66" s="10">
        <v>-0.14000000000000001</v>
      </c>
      <c r="AO66" s="9" t="s">
        <v>62</v>
      </c>
      <c r="AP66" s="3">
        <v>23</v>
      </c>
      <c r="AQ66" s="3"/>
      <c r="AR66" s="3"/>
      <c r="AS66" s="3"/>
      <c r="AT66" s="3"/>
      <c r="AU66" s="3"/>
      <c r="AV66" s="3"/>
    </row>
    <row r="67" spans="1:48" ht="15.4" x14ac:dyDescent="0.35">
      <c r="A67" s="9" t="s">
        <v>12</v>
      </c>
      <c r="B67" s="3">
        <v>2020</v>
      </c>
      <c r="C67" s="9" t="s">
        <v>62</v>
      </c>
      <c r="D67" s="9" t="s">
        <v>62</v>
      </c>
      <c r="E67" s="9" t="s">
        <v>62</v>
      </c>
      <c r="F67" s="9" t="s">
        <v>62</v>
      </c>
      <c r="G67" s="3">
        <v>139345000</v>
      </c>
      <c r="H67" s="9" t="s">
        <v>62</v>
      </c>
      <c r="I67" s="9" t="s">
        <v>62</v>
      </c>
      <c r="J67" s="9">
        <v>0</v>
      </c>
      <c r="K67" s="10">
        <v>2901</v>
      </c>
      <c r="L67" s="9">
        <v>830.6</v>
      </c>
      <c r="M67" s="9">
        <v>830.6</v>
      </c>
      <c r="N67" s="9">
        <v>144.49</v>
      </c>
      <c r="O67" s="9">
        <v>117.22</v>
      </c>
      <c r="P67" s="9">
        <v>9.0500000000000007</v>
      </c>
      <c r="Q67" s="9">
        <v>68.56</v>
      </c>
      <c r="R67" s="9" t="s">
        <v>62</v>
      </c>
      <c r="S67" s="9" t="s">
        <v>62</v>
      </c>
      <c r="T67" s="9" t="s">
        <v>62</v>
      </c>
      <c r="U67" s="9" t="s">
        <v>62</v>
      </c>
      <c r="V67" s="9" t="s">
        <v>62</v>
      </c>
      <c r="W67" s="9">
        <v>627.39</v>
      </c>
      <c r="X67" s="9">
        <v>746.84</v>
      </c>
      <c r="Y67" s="9">
        <v>128.85</v>
      </c>
      <c r="Z67" s="9">
        <v>617.99</v>
      </c>
      <c r="AA67" s="9">
        <v>481.18</v>
      </c>
      <c r="AB67" s="9">
        <v>128.85</v>
      </c>
      <c r="AC67" s="9">
        <v>0</v>
      </c>
      <c r="AD67" s="9">
        <v>19.079999999999998</v>
      </c>
      <c r="AE67" s="9">
        <v>208.97</v>
      </c>
      <c r="AF67" s="9">
        <v>1.7</v>
      </c>
      <c r="AG67" s="9">
        <v>103.63</v>
      </c>
      <c r="AH67" s="9">
        <v>-78.510000000000005</v>
      </c>
      <c r="AI67" s="9">
        <v>78.510000000000005</v>
      </c>
      <c r="AJ67" s="9">
        <v>55.67</v>
      </c>
      <c r="AK67" s="9" t="s">
        <v>62</v>
      </c>
      <c r="AL67" s="3" t="s">
        <v>62</v>
      </c>
      <c r="AM67" s="3" t="s">
        <v>62</v>
      </c>
      <c r="AN67" s="10" t="s">
        <v>62</v>
      </c>
      <c r="AO67" s="3" t="s">
        <v>62</v>
      </c>
      <c r="AP67" s="3">
        <v>45</v>
      </c>
      <c r="AQ67" s="3"/>
      <c r="AR67" s="3"/>
      <c r="AS67" s="3"/>
      <c r="AT67" s="3"/>
      <c r="AU67" s="3"/>
      <c r="AV67" s="3"/>
    </row>
    <row r="68" spans="1:48" ht="15.4" x14ac:dyDescent="0.35">
      <c r="A68" s="9" t="s">
        <v>12</v>
      </c>
      <c r="B68" s="3">
        <v>2021</v>
      </c>
      <c r="C68" s="9" t="s">
        <v>62</v>
      </c>
      <c r="D68" s="9" t="s">
        <v>62</v>
      </c>
      <c r="E68" s="9" t="s">
        <v>62</v>
      </c>
      <c r="F68" s="9" t="s">
        <v>62</v>
      </c>
      <c r="G68" s="3">
        <v>404099500</v>
      </c>
      <c r="H68" s="9" t="s">
        <v>62</v>
      </c>
      <c r="I68" s="9" t="s">
        <v>62</v>
      </c>
      <c r="J68" s="9">
        <v>0</v>
      </c>
      <c r="K68" s="10">
        <v>8188</v>
      </c>
      <c r="L68" s="9">
        <v>1311.22</v>
      </c>
      <c r="M68" s="9">
        <v>1310.79</v>
      </c>
      <c r="N68" s="9">
        <v>420.47</v>
      </c>
      <c r="O68" s="9">
        <v>330.87</v>
      </c>
      <c r="P68" s="9">
        <v>10.76</v>
      </c>
      <c r="Q68" s="9">
        <v>75.05</v>
      </c>
      <c r="R68" s="9" t="s">
        <v>62</v>
      </c>
      <c r="S68" s="9" t="s">
        <v>62</v>
      </c>
      <c r="T68" s="9" t="s">
        <v>62</v>
      </c>
      <c r="U68" s="9" t="s">
        <v>62</v>
      </c>
      <c r="V68" s="9" t="s">
        <v>62</v>
      </c>
      <c r="W68" s="9">
        <v>822.05</v>
      </c>
      <c r="X68" s="9">
        <v>1053.9100000000001</v>
      </c>
      <c r="Y68" s="9">
        <v>210.67</v>
      </c>
      <c r="Z68" s="9">
        <v>843.24</v>
      </c>
      <c r="AA68" s="9">
        <v>795.69</v>
      </c>
      <c r="AB68" s="9">
        <v>210.67</v>
      </c>
      <c r="AC68" s="9">
        <v>0</v>
      </c>
      <c r="AD68" s="9">
        <v>20.76</v>
      </c>
      <c r="AE68" s="9">
        <v>203.7</v>
      </c>
      <c r="AF68" s="9">
        <v>0</v>
      </c>
      <c r="AG68" s="9">
        <v>274.69</v>
      </c>
      <c r="AH68" s="9">
        <v>-156.63999999999999</v>
      </c>
      <c r="AI68" s="9">
        <v>156.63999999999999</v>
      </c>
      <c r="AJ68" s="9">
        <v>104.32</v>
      </c>
      <c r="AK68" s="9" t="s">
        <v>62</v>
      </c>
      <c r="AL68" s="3" t="s">
        <v>62</v>
      </c>
      <c r="AM68" s="3" t="s">
        <v>62</v>
      </c>
      <c r="AN68" s="10">
        <v>0.57999999999999996</v>
      </c>
      <c r="AO68" s="3" t="s">
        <v>62</v>
      </c>
      <c r="AP68" s="3">
        <v>46</v>
      </c>
      <c r="AQ68" s="3"/>
      <c r="AR68" s="3"/>
      <c r="AS68" s="3"/>
      <c r="AT68" s="3"/>
      <c r="AU68" s="3"/>
      <c r="AV68" s="3"/>
    </row>
    <row r="69" spans="1:48" ht="15.4" x14ac:dyDescent="0.35">
      <c r="A69" s="9" t="s">
        <v>12</v>
      </c>
      <c r="B69" s="3">
        <v>2022</v>
      </c>
      <c r="C69" s="9" t="s">
        <v>62</v>
      </c>
      <c r="D69" s="9" t="s">
        <v>62</v>
      </c>
      <c r="E69" s="9" t="s">
        <v>62</v>
      </c>
      <c r="F69" s="9" t="s">
        <v>62</v>
      </c>
      <c r="G69" s="3">
        <v>404099500</v>
      </c>
      <c r="H69" s="9" t="s">
        <v>62</v>
      </c>
      <c r="I69" s="9" t="s">
        <v>62</v>
      </c>
      <c r="J69" s="9">
        <v>80.78</v>
      </c>
      <c r="K69" s="10">
        <v>1093</v>
      </c>
      <c r="L69" s="9">
        <v>1069.76</v>
      </c>
      <c r="M69" s="9">
        <v>1069.0899999999999</v>
      </c>
      <c r="N69" s="9">
        <v>66.599999999999994</v>
      </c>
      <c r="O69" s="9">
        <v>44.16</v>
      </c>
      <c r="P69" s="9">
        <v>11.53</v>
      </c>
      <c r="Q69" s="9">
        <v>126.02</v>
      </c>
      <c r="R69" s="9" t="s">
        <v>62</v>
      </c>
      <c r="S69" s="9" t="s">
        <v>62</v>
      </c>
      <c r="T69" s="9" t="s">
        <v>62</v>
      </c>
      <c r="U69" s="9" t="s">
        <v>62</v>
      </c>
      <c r="V69" s="9" t="s">
        <v>62</v>
      </c>
      <c r="W69" s="9">
        <v>891.76</v>
      </c>
      <c r="X69" s="9">
        <v>1084.9100000000001</v>
      </c>
      <c r="Y69" s="9">
        <v>308.04000000000002</v>
      </c>
      <c r="Z69" s="9">
        <v>776.86</v>
      </c>
      <c r="AA69" s="9">
        <v>603.35</v>
      </c>
      <c r="AB69" s="9">
        <v>308.04000000000002</v>
      </c>
      <c r="AC69" s="9">
        <v>0</v>
      </c>
      <c r="AD69" s="9">
        <v>24.59</v>
      </c>
      <c r="AE69" s="9">
        <v>187.25</v>
      </c>
      <c r="AF69" s="9">
        <v>2.15</v>
      </c>
      <c r="AG69" s="9">
        <v>151.19</v>
      </c>
      <c r="AH69" s="9">
        <v>-94.79</v>
      </c>
      <c r="AI69" s="9">
        <v>-168.83</v>
      </c>
      <c r="AJ69" s="9">
        <v>79.92</v>
      </c>
      <c r="AK69" s="9" t="s">
        <v>62</v>
      </c>
      <c r="AL69" s="3" t="s">
        <v>62</v>
      </c>
      <c r="AM69" s="3" t="s">
        <v>62</v>
      </c>
      <c r="AN69" s="10">
        <v>-0.18</v>
      </c>
      <c r="AO69" s="3" t="s">
        <v>62</v>
      </c>
      <c r="AP69" s="3">
        <v>47</v>
      </c>
      <c r="AQ69" s="3"/>
      <c r="AR69" s="3"/>
      <c r="AS69" s="3"/>
      <c r="AT69" s="3"/>
      <c r="AU69" s="3"/>
      <c r="AV69" s="3"/>
    </row>
    <row r="70" spans="1:48" ht="15.4" x14ac:dyDescent="0.35">
      <c r="A70" s="9" t="s">
        <v>12</v>
      </c>
      <c r="B70" s="3">
        <v>2023</v>
      </c>
      <c r="C70" s="9" t="s">
        <v>62</v>
      </c>
      <c r="D70" s="9" t="s">
        <v>62</v>
      </c>
      <c r="E70" s="9" t="s">
        <v>62</v>
      </c>
      <c r="F70" s="9" t="s">
        <v>62</v>
      </c>
      <c r="G70" s="3">
        <v>404099500</v>
      </c>
      <c r="H70" s="9" t="s">
        <v>62</v>
      </c>
      <c r="I70" s="9" t="s">
        <v>62</v>
      </c>
      <c r="J70" s="9">
        <v>48.47</v>
      </c>
      <c r="K70" s="10">
        <v>2850</v>
      </c>
      <c r="L70" s="9">
        <v>942.35</v>
      </c>
      <c r="M70" s="9">
        <v>938.43</v>
      </c>
      <c r="N70" s="9">
        <v>143.74</v>
      </c>
      <c r="O70" s="9">
        <v>115.16</v>
      </c>
      <c r="P70" s="9">
        <v>15.67</v>
      </c>
      <c r="Q70" s="9">
        <v>80.14</v>
      </c>
      <c r="R70" s="9" t="s">
        <v>62</v>
      </c>
      <c r="S70" s="9" t="s">
        <v>62</v>
      </c>
      <c r="T70" s="9" t="s">
        <v>62</v>
      </c>
      <c r="U70" s="9" t="s">
        <v>62</v>
      </c>
      <c r="V70" s="9" t="s">
        <v>62</v>
      </c>
      <c r="W70" s="9">
        <v>724.76</v>
      </c>
      <c r="X70" s="9">
        <v>1267.1400000000001</v>
      </c>
      <c r="Y70" s="9">
        <v>437.18</v>
      </c>
      <c r="Z70" s="9">
        <v>829.95</v>
      </c>
      <c r="AA70" s="9">
        <v>602.41</v>
      </c>
      <c r="AB70" s="9">
        <v>221.95</v>
      </c>
      <c r="AC70" s="9">
        <v>215.22</v>
      </c>
      <c r="AD70" s="9">
        <v>21.04</v>
      </c>
      <c r="AE70" s="9">
        <v>531.79</v>
      </c>
      <c r="AF70" s="9">
        <v>1.3</v>
      </c>
      <c r="AG70" s="9">
        <v>32.71</v>
      </c>
      <c r="AH70" s="9">
        <v>41.76</v>
      </c>
      <c r="AI70" s="9">
        <v>239.64</v>
      </c>
      <c r="AJ70" s="9">
        <v>237.56</v>
      </c>
      <c r="AK70" s="9" t="s">
        <v>62</v>
      </c>
      <c r="AL70" s="3" t="s">
        <v>62</v>
      </c>
      <c r="AM70" s="3" t="s">
        <v>62</v>
      </c>
      <c r="AN70" s="10">
        <v>-0.12</v>
      </c>
      <c r="AO70" s="3" t="s">
        <v>62</v>
      </c>
      <c r="AP70" s="3">
        <v>48</v>
      </c>
      <c r="AQ70" s="3"/>
      <c r="AR70" s="3"/>
      <c r="AS70" s="3"/>
      <c r="AT70" s="3"/>
      <c r="AU70" s="3"/>
      <c r="AV70" s="3"/>
    </row>
    <row r="71" spans="1:48" ht="15.4" x14ac:dyDescent="0.35">
      <c r="A71" s="9" t="s">
        <v>12</v>
      </c>
      <c r="B71" s="3">
        <v>2024</v>
      </c>
      <c r="C71" s="9" t="s">
        <v>62</v>
      </c>
      <c r="D71" s="9" t="s">
        <v>62</v>
      </c>
      <c r="E71" s="9" t="s">
        <v>62</v>
      </c>
      <c r="F71" s="9" t="s">
        <v>62</v>
      </c>
      <c r="G71" s="3" t="s">
        <v>62</v>
      </c>
      <c r="H71" s="9" t="s">
        <v>62</v>
      </c>
      <c r="I71" s="9" t="s">
        <v>62</v>
      </c>
      <c r="J71" s="9">
        <v>0</v>
      </c>
      <c r="K71" s="10">
        <v>3172</v>
      </c>
      <c r="L71" s="9">
        <v>1165.25</v>
      </c>
      <c r="M71" s="9">
        <v>1157.5999999999999</v>
      </c>
      <c r="N71" s="9">
        <v>163.18</v>
      </c>
      <c r="O71" s="9">
        <v>128.18</v>
      </c>
      <c r="P71" s="9">
        <v>19.55</v>
      </c>
      <c r="Q71" s="9">
        <v>90.66</v>
      </c>
      <c r="R71" s="9" t="s">
        <v>62</v>
      </c>
      <c r="S71" s="9" t="s">
        <v>62</v>
      </c>
      <c r="T71" s="9" t="s">
        <v>62</v>
      </c>
      <c r="U71" s="9">
        <v>49.65</v>
      </c>
      <c r="V71" s="9">
        <v>885.32</v>
      </c>
      <c r="W71" s="9">
        <v>885.32</v>
      </c>
      <c r="X71" s="9">
        <v>1324.17</v>
      </c>
      <c r="Y71" s="9">
        <v>443.98</v>
      </c>
      <c r="Z71" s="9">
        <v>880.19</v>
      </c>
      <c r="AA71" s="9">
        <v>643.91</v>
      </c>
      <c r="AB71" s="9">
        <v>209.36</v>
      </c>
      <c r="AC71" s="9">
        <v>234.62</v>
      </c>
      <c r="AD71" s="9">
        <v>23.21</v>
      </c>
      <c r="AE71" s="9">
        <v>603.52</v>
      </c>
      <c r="AF71" s="9">
        <v>1.04</v>
      </c>
      <c r="AG71" s="9">
        <v>141.91</v>
      </c>
      <c r="AH71" s="9">
        <v>-286.68</v>
      </c>
      <c r="AI71" s="9">
        <v>190.33</v>
      </c>
      <c r="AJ71" s="9">
        <v>93.71</v>
      </c>
      <c r="AK71" s="9" t="s">
        <v>62</v>
      </c>
      <c r="AL71" s="3" t="s">
        <v>62</v>
      </c>
      <c r="AM71" s="3" t="s">
        <v>62</v>
      </c>
      <c r="AN71" s="10">
        <v>0.23</v>
      </c>
      <c r="AO71" s="3" t="s">
        <v>62</v>
      </c>
      <c r="AP71" s="3">
        <v>49</v>
      </c>
      <c r="AQ71" s="3"/>
      <c r="AR71" s="3"/>
      <c r="AS71" s="3"/>
      <c r="AT71" s="3"/>
      <c r="AU71" s="3"/>
      <c r="AV71" s="3"/>
    </row>
    <row r="72" spans="1:48" ht="15.4" x14ac:dyDescent="0.35">
      <c r="A72" s="9" t="s">
        <v>6</v>
      </c>
      <c r="B72" s="3">
        <v>2020</v>
      </c>
      <c r="C72" s="9" t="s">
        <v>62</v>
      </c>
      <c r="D72" s="9" t="s">
        <v>62</v>
      </c>
      <c r="E72" s="9" t="s">
        <v>62</v>
      </c>
      <c r="F72" s="9" t="s">
        <v>62</v>
      </c>
      <c r="G72" s="3">
        <v>472945900</v>
      </c>
      <c r="H72" s="9" t="s">
        <v>62</v>
      </c>
      <c r="I72" s="9" t="s">
        <v>62</v>
      </c>
      <c r="J72" s="9">
        <v>57.5</v>
      </c>
      <c r="K72" s="10">
        <v>2805</v>
      </c>
      <c r="L72" s="9">
        <v>2852.7</v>
      </c>
      <c r="M72" s="9">
        <v>2852.63</v>
      </c>
      <c r="N72" s="9">
        <v>181.55</v>
      </c>
      <c r="O72" s="9">
        <v>146.74</v>
      </c>
      <c r="P72" s="9">
        <v>108.83</v>
      </c>
      <c r="Q72" s="9">
        <v>117.81</v>
      </c>
      <c r="R72" s="9" t="s">
        <v>62</v>
      </c>
      <c r="S72" s="9" t="s">
        <v>62</v>
      </c>
      <c r="T72" s="9" t="s">
        <v>62</v>
      </c>
      <c r="U72" s="9" t="s">
        <v>62</v>
      </c>
      <c r="V72" s="9" t="s">
        <v>62</v>
      </c>
      <c r="W72" s="9">
        <v>2479.36</v>
      </c>
      <c r="X72" s="9">
        <v>6239.44</v>
      </c>
      <c r="Y72" s="9">
        <v>5578</v>
      </c>
      <c r="Z72" s="9">
        <v>661.43</v>
      </c>
      <c r="AA72" s="9">
        <v>4421.41</v>
      </c>
      <c r="AB72" s="9">
        <v>4340.46</v>
      </c>
      <c r="AC72" s="9">
        <v>1237.54</v>
      </c>
      <c r="AD72" s="9">
        <v>736.51</v>
      </c>
      <c r="AE72" s="9">
        <v>61.55</v>
      </c>
      <c r="AF72" s="9">
        <v>0.48</v>
      </c>
      <c r="AG72" s="9">
        <v>208.15</v>
      </c>
      <c r="AH72" s="9">
        <v>368.16</v>
      </c>
      <c r="AI72" s="9">
        <v>18.66</v>
      </c>
      <c r="AJ72" s="9">
        <v>165.04</v>
      </c>
      <c r="AK72" s="9" t="s">
        <v>62</v>
      </c>
      <c r="AL72" s="3" t="s">
        <v>62</v>
      </c>
      <c r="AM72" s="3" t="s">
        <v>62</v>
      </c>
      <c r="AN72" s="10" t="s">
        <v>62</v>
      </c>
      <c r="AO72" s="9" t="s">
        <v>62</v>
      </c>
      <c r="AP72" s="3">
        <v>30</v>
      </c>
      <c r="AQ72" s="3"/>
      <c r="AR72" s="3"/>
      <c r="AS72" s="3"/>
      <c r="AT72" s="3"/>
      <c r="AU72" s="3"/>
      <c r="AV72" s="3"/>
    </row>
    <row r="73" spans="1:48" ht="15.4" x14ac:dyDescent="0.35">
      <c r="A73" s="9" t="s">
        <v>6</v>
      </c>
      <c r="B73" s="3">
        <v>2021</v>
      </c>
      <c r="C73" s="9" t="s">
        <v>62</v>
      </c>
      <c r="D73" s="9" t="s">
        <v>62</v>
      </c>
      <c r="E73" s="9" t="s">
        <v>62</v>
      </c>
      <c r="F73" s="9" t="s">
        <v>62</v>
      </c>
      <c r="G73" s="9" t="s">
        <v>62</v>
      </c>
      <c r="H73" s="9" t="s">
        <v>62</v>
      </c>
      <c r="I73" s="9" t="s">
        <v>62</v>
      </c>
      <c r="J73" s="9">
        <v>0</v>
      </c>
      <c r="K73" s="10">
        <v>3915</v>
      </c>
      <c r="L73" s="9">
        <v>3111.85</v>
      </c>
      <c r="M73" s="9">
        <v>3111.84</v>
      </c>
      <c r="N73" s="9">
        <v>371.28</v>
      </c>
      <c r="O73" s="9">
        <v>335.63</v>
      </c>
      <c r="P73" s="9">
        <v>69.989999999999995</v>
      </c>
      <c r="Q73" s="9">
        <v>127.75</v>
      </c>
      <c r="R73" s="9" t="s">
        <v>62</v>
      </c>
      <c r="S73" s="9" t="s">
        <v>62</v>
      </c>
      <c r="T73" s="9" t="s">
        <v>62</v>
      </c>
      <c r="U73" s="9" t="s">
        <v>62</v>
      </c>
      <c r="V73" s="9" t="s">
        <v>62</v>
      </c>
      <c r="W73" s="9">
        <v>2731.57</v>
      </c>
      <c r="X73" s="9">
        <v>5769.74</v>
      </c>
      <c r="Y73" s="9">
        <v>4500.2700000000004</v>
      </c>
      <c r="Z73" s="9">
        <v>1269.46</v>
      </c>
      <c r="AA73" s="9">
        <v>3783.65</v>
      </c>
      <c r="AB73" s="9">
        <v>3376.47</v>
      </c>
      <c r="AC73" s="9">
        <v>1123.8</v>
      </c>
      <c r="AD73" s="9">
        <v>503.24</v>
      </c>
      <c r="AE73" s="9">
        <v>58.56</v>
      </c>
      <c r="AF73" s="9">
        <v>0.46</v>
      </c>
      <c r="AG73" s="9">
        <v>124.21</v>
      </c>
      <c r="AH73" s="9">
        <v>-108.01</v>
      </c>
      <c r="AI73" s="9">
        <v>20</v>
      </c>
      <c r="AJ73" s="9">
        <v>289.73</v>
      </c>
      <c r="AK73" s="9" t="s">
        <v>62</v>
      </c>
      <c r="AL73" s="3" t="s">
        <v>62</v>
      </c>
      <c r="AM73" s="3" t="s">
        <v>62</v>
      </c>
      <c r="AN73" s="10">
        <v>0.09</v>
      </c>
      <c r="AO73" s="9" t="s">
        <v>62</v>
      </c>
      <c r="AP73" s="3">
        <v>31</v>
      </c>
      <c r="AQ73" s="3"/>
      <c r="AR73" s="3"/>
      <c r="AS73" s="3"/>
      <c r="AT73" s="3"/>
      <c r="AU73" s="3"/>
      <c r="AV73" s="3"/>
    </row>
    <row r="74" spans="1:48" ht="15.4" x14ac:dyDescent="0.35">
      <c r="A74" s="9" t="s">
        <v>6</v>
      </c>
      <c r="B74" s="3">
        <v>2022</v>
      </c>
      <c r="C74" s="9" t="s">
        <v>62</v>
      </c>
      <c r="D74" s="9" t="s">
        <v>62</v>
      </c>
      <c r="E74" s="9" t="s">
        <v>62</v>
      </c>
      <c r="F74" s="9" t="s">
        <v>62</v>
      </c>
      <c r="G74" s="9" t="s">
        <v>62</v>
      </c>
      <c r="H74" s="9" t="s">
        <v>62</v>
      </c>
      <c r="I74" s="9" t="s">
        <v>62</v>
      </c>
      <c r="J74" s="9">
        <v>0</v>
      </c>
      <c r="K74" s="10">
        <v>1417</v>
      </c>
      <c r="L74" s="9">
        <v>2944.81</v>
      </c>
      <c r="M74" s="9">
        <v>2944.81</v>
      </c>
      <c r="N74" s="9">
        <v>402.18</v>
      </c>
      <c r="O74" s="9">
        <v>333.85</v>
      </c>
      <c r="P74" s="9">
        <v>92</v>
      </c>
      <c r="Q74" s="9">
        <v>146.85</v>
      </c>
      <c r="R74" s="9" t="s">
        <v>62</v>
      </c>
      <c r="S74" s="9" t="s">
        <v>62</v>
      </c>
      <c r="T74" s="9" t="s">
        <v>62</v>
      </c>
      <c r="U74" s="9" t="s">
        <v>62</v>
      </c>
      <c r="V74" s="9" t="s">
        <v>62</v>
      </c>
      <c r="W74" s="9">
        <v>2560.71</v>
      </c>
      <c r="X74" s="9">
        <v>9842.48</v>
      </c>
      <c r="Y74" s="9">
        <v>6223.02</v>
      </c>
      <c r="Z74" s="9">
        <v>3619.45</v>
      </c>
      <c r="AA74" s="9">
        <v>6124.95</v>
      </c>
      <c r="AB74" s="9">
        <v>4377.42</v>
      </c>
      <c r="AC74" s="9">
        <v>1845.6</v>
      </c>
      <c r="AD74" s="9">
        <v>456.53</v>
      </c>
      <c r="AE74" s="9">
        <v>50.14</v>
      </c>
      <c r="AF74" s="9">
        <v>0.44</v>
      </c>
      <c r="AG74" s="9">
        <v>-3322.67</v>
      </c>
      <c r="AH74" s="9">
        <v>-663.61</v>
      </c>
      <c r="AI74" s="9">
        <v>-10.08</v>
      </c>
      <c r="AJ74" s="9">
        <v>207.18</v>
      </c>
      <c r="AK74" s="9" t="s">
        <v>62</v>
      </c>
      <c r="AL74" s="3" t="s">
        <v>62</v>
      </c>
      <c r="AM74" s="3" t="s">
        <v>62</v>
      </c>
      <c r="AN74" s="10">
        <v>-0.05</v>
      </c>
      <c r="AO74" s="9" t="s">
        <v>62</v>
      </c>
      <c r="AP74" s="3">
        <v>32</v>
      </c>
      <c r="AQ74" s="3"/>
      <c r="AR74" s="3"/>
      <c r="AS74" s="3"/>
      <c r="AT74" s="3"/>
      <c r="AU74" s="3"/>
      <c r="AV74" s="3"/>
    </row>
    <row r="75" spans="1:48" ht="15.4" x14ac:dyDescent="0.35">
      <c r="A75" s="9" t="s">
        <v>6</v>
      </c>
      <c r="B75" s="3">
        <v>2023</v>
      </c>
      <c r="C75" s="9" t="s">
        <v>62</v>
      </c>
      <c r="D75" s="9" t="s">
        <v>62</v>
      </c>
      <c r="E75" s="9" t="s">
        <v>62</v>
      </c>
      <c r="F75" s="9" t="s">
        <v>62</v>
      </c>
      <c r="G75" s="9" t="s">
        <v>62</v>
      </c>
      <c r="H75" s="9" t="s">
        <v>62</v>
      </c>
      <c r="I75" s="9" t="s">
        <v>62</v>
      </c>
      <c r="J75" s="9">
        <v>0</v>
      </c>
      <c r="K75" s="10">
        <v>460.6</v>
      </c>
      <c r="L75" s="9">
        <v>1784.92</v>
      </c>
      <c r="M75" s="9">
        <v>1784.5</v>
      </c>
      <c r="N75" s="9">
        <v>215</v>
      </c>
      <c r="O75" s="9">
        <v>175.42</v>
      </c>
      <c r="P75" s="9">
        <v>82.66</v>
      </c>
      <c r="Q75" s="9">
        <v>147.29</v>
      </c>
      <c r="R75" s="9" t="s">
        <v>62</v>
      </c>
      <c r="S75" s="9" t="s">
        <v>62</v>
      </c>
      <c r="T75" s="9" t="s">
        <v>62</v>
      </c>
      <c r="U75" s="9" t="s">
        <v>62</v>
      </c>
      <c r="V75" s="9" t="s">
        <v>62</v>
      </c>
      <c r="W75" s="9">
        <v>0</v>
      </c>
      <c r="X75" s="9">
        <v>9181.2999999999993</v>
      </c>
      <c r="Y75" s="9">
        <v>5394.28</v>
      </c>
      <c r="Z75" s="9">
        <v>3787.02</v>
      </c>
      <c r="AA75" s="9">
        <v>6301.84</v>
      </c>
      <c r="AB75" s="9">
        <v>4360.12</v>
      </c>
      <c r="AC75" s="9">
        <v>1029.05</v>
      </c>
      <c r="AD75" s="9">
        <v>505.59</v>
      </c>
      <c r="AE75" s="9">
        <v>75.900000000000006</v>
      </c>
      <c r="AF75" s="9">
        <v>0.44</v>
      </c>
      <c r="AG75" s="9">
        <v>412.62</v>
      </c>
      <c r="AH75" s="9">
        <v>302</v>
      </c>
      <c r="AI75" s="9">
        <v>5.04</v>
      </c>
      <c r="AJ75" s="9">
        <v>300.3</v>
      </c>
      <c r="AK75" s="9" t="s">
        <v>62</v>
      </c>
      <c r="AL75" s="3">
        <v>1</v>
      </c>
      <c r="AM75" s="3">
        <v>0</v>
      </c>
      <c r="AN75" s="10">
        <v>-0.39</v>
      </c>
      <c r="AO75" s="9" t="s">
        <v>62</v>
      </c>
      <c r="AP75" s="3">
        <v>33</v>
      </c>
      <c r="AQ75" s="3"/>
      <c r="AR75" s="3"/>
      <c r="AS75" s="3"/>
      <c r="AT75" s="3"/>
      <c r="AU75" s="3"/>
      <c r="AV75" s="3"/>
    </row>
    <row r="76" spans="1:48" ht="15.4" x14ac:dyDescent="0.35">
      <c r="A76" s="9" t="s">
        <v>6</v>
      </c>
      <c r="B76" s="3">
        <v>2024</v>
      </c>
      <c r="C76" s="9" t="s">
        <v>62</v>
      </c>
      <c r="D76" s="9" t="s">
        <v>62</v>
      </c>
      <c r="E76" s="9" t="s">
        <v>62</v>
      </c>
      <c r="F76" s="9" t="s">
        <v>62</v>
      </c>
      <c r="G76" s="9" t="s">
        <v>62</v>
      </c>
      <c r="H76" s="9" t="s">
        <v>62</v>
      </c>
      <c r="I76" s="9" t="s">
        <v>62</v>
      </c>
      <c r="J76" s="9">
        <v>0</v>
      </c>
      <c r="K76" s="10" t="s">
        <v>62</v>
      </c>
      <c r="L76" s="9">
        <v>261.98</v>
      </c>
      <c r="M76" s="9">
        <v>261.83999999999997</v>
      </c>
      <c r="N76" s="9">
        <v>173.34</v>
      </c>
      <c r="O76" s="9">
        <v>29.14</v>
      </c>
      <c r="P76" s="9">
        <v>10.3</v>
      </c>
      <c r="Q76" s="9">
        <v>37.42</v>
      </c>
      <c r="R76" s="9" t="s">
        <v>62</v>
      </c>
      <c r="S76" s="9" t="s">
        <v>62</v>
      </c>
      <c r="T76" s="9" t="s">
        <v>62</v>
      </c>
      <c r="U76" s="9" t="s">
        <v>62</v>
      </c>
      <c r="V76" s="9" t="s">
        <v>62</v>
      </c>
      <c r="W76" s="9">
        <v>1784.51</v>
      </c>
      <c r="X76" s="9">
        <v>9265.35</v>
      </c>
      <c r="Y76" s="9">
        <v>5396.82</v>
      </c>
      <c r="Z76" s="9">
        <v>3868.52</v>
      </c>
      <c r="AA76" s="9">
        <v>5830.32</v>
      </c>
      <c r="AB76" s="9">
        <v>4255.95</v>
      </c>
      <c r="AC76" s="9">
        <v>1130.6199999999999</v>
      </c>
      <c r="AD76" s="9">
        <v>602.42999999999995</v>
      </c>
      <c r="AE76" s="9">
        <v>58.9</v>
      </c>
      <c r="AF76" s="9">
        <v>0.42</v>
      </c>
      <c r="AG76" s="9">
        <v>-247.31</v>
      </c>
      <c r="AH76" s="9">
        <v>119.05</v>
      </c>
      <c r="AI76" s="9">
        <v>0.91</v>
      </c>
      <c r="AJ76" s="9">
        <v>79.260000000000005</v>
      </c>
      <c r="AK76" s="9" t="s">
        <v>62</v>
      </c>
      <c r="AL76" s="3">
        <v>0</v>
      </c>
      <c r="AM76" s="3">
        <v>0</v>
      </c>
      <c r="AN76" s="10">
        <v>-0.85</v>
      </c>
      <c r="AO76" s="9" t="s">
        <v>62</v>
      </c>
      <c r="AP76" s="3">
        <v>34</v>
      </c>
      <c r="AQ76" s="3"/>
      <c r="AR76" s="3"/>
      <c r="AS76" s="3"/>
      <c r="AT76" s="3"/>
      <c r="AU76" s="3"/>
      <c r="AV76" s="3"/>
    </row>
    <row r="77" spans="1:48" ht="15.4" x14ac:dyDescent="0.35">
      <c r="A77" s="9" t="s">
        <v>16</v>
      </c>
      <c r="B77" s="2">
        <v>2020</v>
      </c>
      <c r="C77" s="19">
        <v>0.30940000000000001</v>
      </c>
      <c r="D77" s="19">
        <v>0</v>
      </c>
      <c r="E77" s="19">
        <v>0</v>
      </c>
      <c r="F77" s="10" t="s">
        <v>62</v>
      </c>
      <c r="G77" s="6">
        <v>102110621</v>
      </c>
      <c r="H77" s="20" t="s">
        <v>62</v>
      </c>
      <c r="I77" s="20" t="s">
        <v>62</v>
      </c>
      <c r="J77" s="20">
        <v>50323242500</v>
      </c>
      <c r="K77" s="7">
        <v>754000000</v>
      </c>
      <c r="L77" s="20" t="s">
        <v>138</v>
      </c>
      <c r="M77" s="20" t="s">
        <v>139</v>
      </c>
      <c r="N77" s="20" t="s">
        <v>140</v>
      </c>
      <c r="O77" s="20" t="s">
        <v>141</v>
      </c>
      <c r="P77" s="20" t="s">
        <v>142</v>
      </c>
      <c r="Q77" s="20" t="s">
        <v>143</v>
      </c>
      <c r="R77" s="20" t="s">
        <v>144</v>
      </c>
      <c r="S77" s="20" t="s">
        <v>62</v>
      </c>
      <c r="T77" s="20" t="s">
        <v>145</v>
      </c>
      <c r="U77" s="20" t="s">
        <v>62</v>
      </c>
      <c r="V77" s="20" t="s">
        <v>62</v>
      </c>
      <c r="W77" s="20" t="s">
        <v>62</v>
      </c>
      <c r="X77" s="20" t="s">
        <v>146</v>
      </c>
      <c r="Y77" s="20" t="s">
        <v>147</v>
      </c>
      <c r="Z77" s="20" t="s">
        <v>148</v>
      </c>
      <c r="AA77" s="20" t="s">
        <v>149</v>
      </c>
      <c r="AB77" s="20" t="s">
        <v>150</v>
      </c>
      <c r="AC77" s="20" t="s">
        <v>151</v>
      </c>
      <c r="AD77" s="20" t="s">
        <v>152</v>
      </c>
      <c r="AE77" s="20" t="s">
        <v>153</v>
      </c>
      <c r="AF77" s="20" t="s">
        <v>154</v>
      </c>
      <c r="AG77" s="20" t="s">
        <v>155</v>
      </c>
      <c r="AH77" s="20" t="s">
        <v>156</v>
      </c>
      <c r="AI77" s="20" t="s">
        <v>157</v>
      </c>
      <c r="AJ77" s="20" t="s">
        <v>158</v>
      </c>
      <c r="AK77" s="20" t="s">
        <v>62</v>
      </c>
      <c r="AL77" s="6">
        <v>1</v>
      </c>
      <c r="AM77" s="6">
        <v>1</v>
      </c>
      <c r="AN77" s="19">
        <v>-2429</v>
      </c>
      <c r="AO77" s="6" t="s">
        <v>62</v>
      </c>
      <c r="AP77" s="6">
        <v>32</v>
      </c>
      <c r="AQ77" s="6"/>
      <c r="AR77" s="6"/>
      <c r="AS77" s="6"/>
      <c r="AT77" s="6"/>
      <c r="AU77" s="6"/>
      <c r="AV77" s="6"/>
    </row>
    <row r="78" spans="1:48" ht="15.4" x14ac:dyDescent="0.35">
      <c r="A78" s="9" t="s">
        <v>16</v>
      </c>
      <c r="B78" s="3">
        <v>2021</v>
      </c>
      <c r="C78" s="19">
        <v>0.2797</v>
      </c>
      <c r="D78" s="19" t="s">
        <v>159</v>
      </c>
      <c r="E78" s="19" t="s">
        <v>159</v>
      </c>
      <c r="F78" s="19">
        <v>1.3599999999999999E-2</v>
      </c>
      <c r="G78" s="6">
        <v>102110621</v>
      </c>
      <c r="H78" s="7" t="s">
        <v>62</v>
      </c>
      <c r="I78" s="20" t="s">
        <v>62</v>
      </c>
      <c r="J78" s="20">
        <v>50447783685</v>
      </c>
      <c r="K78" s="7" t="s">
        <v>160</v>
      </c>
      <c r="L78" s="20" t="s">
        <v>161</v>
      </c>
      <c r="M78" s="20" t="s">
        <v>162</v>
      </c>
      <c r="N78" s="20" t="s">
        <v>163</v>
      </c>
      <c r="O78" s="20" t="s">
        <v>164</v>
      </c>
      <c r="P78" s="20" t="s">
        <v>165</v>
      </c>
      <c r="Q78" s="20" t="s">
        <v>166</v>
      </c>
      <c r="R78" s="20" t="s">
        <v>167</v>
      </c>
      <c r="S78" s="20" t="s">
        <v>62</v>
      </c>
      <c r="T78" s="20" t="s">
        <v>168</v>
      </c>
      <c r="U78" s="20" t="s">
        <v>62</v>
      </c>
      <c r="V78" s="20" t="s">
        <v>62</v>
      </c>
      <c r="W78" s="20" t="s">
        <v>62</v>
      </c>
      <c r="X78" s="20" t="s">
        <v>169</v>
      </c>
      <c r="Y78" s="20" t="s">
        <v>170</v>
      </c>
      <c r="Z78" s="20" t="s">
        <v>171</v>
      </c>
      <c r="AA78" s="20" t="s">
        <v>172</v>
      </c>
      <c r="AB78" s="20" t="s">
        <v>173</v>
      </c>
      <c r="AC78" s="20" t="s">
        <v>159</v>
      </c>
      <c r="AD78" s="20" t="s">
        <v>174</v>
      </c>
      <c r="AE78" s="20" t="s">
        <v>175</v>
      </c>
      <c r="AF78" s="20" t="s">
        <v>176</v>
      </c>
      <c r="AG78" s="20" t="s">
        <v>177</v>
      </c>
      <c r="AH78" s="20" t="s">
        <v>178</v>
      </c>
      <c r="AI78" s="20" t="s">
        <v>179</v>
      </c>
      <c r="AJ78" s="20" t="s">
        <v>180</v>
      </c>
      <c r="AK78" s="20" t="s">
        <v>62</v>
      </c>
      <c r="AL78" s="6">
        <v>1</v>
      </c>
      <c r="AM78" s="6">
        <v>1</v>
      </c>
      <c r="AN78" s="19">
        <v>1371</v>
      </c>
      <c r="AO78" s="6">
        <v>286</v>
      </c>
      <c r="AP78" s="6">
        <v>33</v>
      </c>
      <c r="AQ78" s="6"/>
      <c r="AR78" s="6"/>
      <c r="AS78" s="6"/>
      <c r="AT78" s="6"/>
      <c r="AU78" s="6"/>
      <c r="AV78" s="6"/>
    </row>
    <row r="79" spans="1:48" ht="15.4" x14ac:dyDescent="0.35">
      <c r="A79" s="9" t="s">
        <v>16</v>
      </c>
      <c r="B79" s="2">
        <v>2022</v>
      </c>
      <c r="C79" s="19">
        <v>0.39329999999999998</v>
      </c>
      <c r="D79" s="21">
        <v>0</v>
      </c>
      <c r="E79" s="21">
        <v>0</v>
      </c>
      <c r="F79" s="19">
        <v>1.38E-2</v>
      </c>
      <c r="G79" s="6">
        <v>102110621</v>
      </c>
      <c r="H79" s="20" t="s">
        <v>62</v>
      </c>
      <c r="I79" s="20" t="s">
        <v>62</v>
      </c>
      <c r="J79" s="9">
        <v>0</v>
      </c>
      <c r="K79" s="10">
        <v>53</v>
      </c>
      <c r="L79" s="20">
        <v>5326.72</v>
      </c>
      <c r="M79" s="20">
        <v>5324.49</v>
      </c>
      <c r="N79" s="20">
        <v>26.89</v>
      </c>
      <c r="O79" s="20">
        <v>7.54</v>
      </c>
      <c r="P79" s="20">
        <v>47.69</v>
      </c>
      <c r="Q79" s="20">
        <v>52.67</v>
      </c>
      <c r="R79" s="20">
        <v>5231.42</v>
      </c>
      <c r="S79" s="20" t="s">
        <v>62</v>
      </c>
      <c r="T79" s="9">
        <v>36.54</v>
      </c>
      <c r="U79" s="20" t="s">
        <v>62</v>
      </c>
      <c r="V79" s="20" t="s">
        <v>62</v>
      </c>
      <c r="W79" s="20" t="s">
        <v>62</v>
      </c>
      <c r="X79" s="20">
        <v>4199.99</v>
      </c>
      <c r="Y79" s="20">
        <v>2289.2600000000002</v>
      </c>
      <c r="Z79" s="20">
        <v>1910.74</v>
      </c>
      <c r="AA79" s="20">
        <v>3643.26</v>
      </c>
      <c r="AB79" s="20">
        <v>2263.9499999999998</v>
      </c>
      <c r="AC79" s="20">
        <v>12.55</v>
      </c>
      <c r="AD79" s="20">
        <v>2994.32</v>
      </c>
      <c r="AE79" s="20">
        <v>176.81</v>
      </c>
      <c r="AF79" s="20">
        <v>95.14</v>
      </c>
      <c r="AG79" s="20">
        <v>-189.98</v>
      </c>
      <c r="AH79" s="20">
        <v>198.75</v>
      </c>
      <c r="AI79" s="20">
        <v>-2.2999999999999998</v>
      </c>
      <c r="AJ79" s="20">
        <v>113.89</v>
      </c>
      <c r="AK79" s="20" t="s">
        <v>62</v>
      </c>
      <c r="AL79" s="3">
        <v>1</v>
      </c>
      <c r="AM79" s="3">
        <v>1</v>
      </c>
      <c r="AN79" s="19">
        <v>0.1462</v>
      </c>
      <c r="AO79" s="6">
        <v>231</v>
      </c>
      <c r="AP79" s="6">
        <v>34</v>
      </c>
      <c r="AQ79" s="6"/>
      <c r="AR79" s="6"/>
      <c r="AS79" s="6"/>
      <c r="AT79" s="6"/>
      <c r="AU79" s="6"/>
      <c r="AV79" s="6"/>
    </row>
    <row r="80" spans="1:48" ht="15.4" x14ac:dyDescent="0.35">
      <c r="A80" s="9" t="s">
        <v>16</v>
      </c>
      <c r="B80" s="3">
        <v>2023</v>
      </c>
      <c r="C80" s="19">
        <v>0.39329999999999998</v>
      </c>
      <c r="D80" s="21">
        <v>0</v>
      </c>
      <c r="E80" s="21">
        <v>0</v>
      </c>
      <c r="F80" s="10">
        <v>1.38E-2</v>
      </c>
      <c r="G80" s="6">
        <v>112320017</v>
      </c>
      <c r="H80" s="20" t="s">
        <v>62</v>
      </c>
      <c r="I80" s="20" t="s">
        <v>62</v>
      </c>
      <c r="J80" s="20">
        <v>51055310500</v>
      </c>
      <c r="K80" s="10">
        <v>35</v>
      </c>
      <c r="L80" s="15">
        <v>6158.69</v>
      </c>
      <c r="M80" s="9">
        <v>6157.36</v>
      </c>
      <c r="N80" s="9">
        <v>-14.1</v>
      </c>
      <c r="O80" s="15">
        <v>4.0999999999999996</v>
      </c>
      <c r="P80" s="15">
        <v>42.83</v>
      </c>
      <c r="Q80" s="15">
        <v>45.19</v>
      </c>
      <c r="R80" s="20">
        <v>5420.76</v>
      </c>
      <c r="S80" s="20" t="s">
        <v>62</v>
      </c>
      <c r="T80" s="20">
        <v>24.82</v>
      </c>
      <c r="U80" s="20" t="s">
        <v>62</v>
      </c>
      <c r="V80" s="20" t="s">
        <v>62</v>
      </c>
      <c r="W80" s="20" t="s">
        <v>62</v>
      </c>
      <c r="X80" s="20">
        <v>4127.82</v>
      </c>
      <c r="Y80" s="20">
        <v>2266.91</v>
      </c>
      <c r="Z80" s="20">
        <v>1860.91</v>
      </c>
      <c r="AA80" s="20">
        <v>3562.21</v>
      </c>
      <c r="AB80" s="20">
        <v>2259.17</v>
      </c>
      <c r="AC80" s="20">
        <v>3.29</v>
      </c>
      <c r="AD80" s="20">
        <v>2413.36</v>
      </c>
      <c r="AE80" s="20">
        <v>216.83</v>
      </c>
      <c r="AF80" s="20">
        <v>100.1</v>
      </c>
      <c r="AG80" s="20">
        <v>318.97000000000003</v>
      </c>
      <c r="AH80" s="9">
        <v>-6.98</v>
      </c>
      <c r="AI80" s="20">
        <v>-61.64</v>
      </c>
      <c r="AJ80" s="20">
        <v>270.12</v>
      </c>
      <c r="AK80" s="20" t="s">
        <v>62</v>
      </c>
      <c r="AL80" s="3">
        <v>1</v>
      </c>
      <c r="AM80" s="3">
        <v>1</v>
      </c>
      <c r="AN80" s="19">
        <v>0.1565</v>
      </c>
      <c r="AO80" s="6">
        <v>224</v>
      </c>
      <c r="AP80" s="6">
        <v>35</v>
      </c>
      <c r="AQ80" s="6"/>
      <c r="AR80" s="6"/>
      <c r="AS80" s="6"/>
      <c r="AT80" s="6"/>
      <c r="AU80" s="6"/>
      <c r="AV80" s="6"/>
    </row>
    <row r="81" spans="1:48" ht="15.4" x14ac:dyDescent="0.35">
      <c r="A81" s="9" t="s">
        <v>16</v>
      </c>
      <c r="B81" s="2">
        <v>2024</v>
      </c>
      <c r="C81" s="10">
        <v>0.39</v>
      </c>
      <c r="D81" s="21">
        <v>0</v>
      </c>
      <c r="E81" s="21">
        <v>0</v>
      </c>
      <c r="F81" s="21">
        <v>0.02</v>
      </c>
      <c r="G81" s="22">
        <v>112320017</v>
      </c>
      <c r="H81" s="9" t="s">
        <v>62</v>
      </c>
      <c r="I81" s="9" t="s">
        <v>62</v>
      </c>
      <c r="J81" s="9">
        <v>0</v>
      </c>
      <c r="K81" s="10">
        <v>-5217</v>
      </c>
      <c r="L81" s="15">
        <v>6305.42</v>
      </c>
      <c r="M81" s="15">
        <v>6305.06</v>
      </c>
      <c r="N81" s="15">
        <v>-590.63</v>
      </c>
      <c r="O81" s="15">
        <v>-597.71</v>
      </c>
      <c r="P81" s="15">
        <v>57.3</v>
      </c>
      <c r="Q81" s="15">
        <v>58.96</v>
      </c>
      <c r="R81" s="9">
        <v>333.95</v>
      </c>
      <c r="S81" s="20" t="s">
        <v>62</v>
      </c>
      <c r="T81" s="20">
        <v>27.98</v>
      </c>
      <c r="U81" s="20" t="s">
        <v>62</v>
      </c>
      <c r="V81" s="20" t="s">
        <v>62</v>
      </c>
      <c r="W81" s="20" t="s">
        <v>62</v>
      </c>
      <c r="X81" s="20">
        <v>3931.74</v>
      </c>
      <c r="Y81" s="9">
        <v>2673.59</v>
      </c>
      <c r="Z81" s="9">
        <v>1258.1500000000001</v>
      </c>
      <c r="AA81" s="9">
        <v>3464.04</v>
      </c>
      <c r="AB81" s="9">
        <v>2648.12</v>
      </c>
      <c r="AC81" s="9">
        <v>3.28</v>
      </c>
      <c r="AD81" s="9">
        <v>2573.0100000000002</v>
      </c>
      <c r="AE81" s="16">
        <v>221.28</v>
      </c>
      <c r="AF81" s="9">
        <v>92.87</v>
      </c>
      <c r="AG81" s="20">
        <v>-786.15</v>
      </c>
      <c r="AH81" s="20">
        <v>30.24</v>
      </c>
      <c r="AI81" s="20">
        <v>-29.21</v>
      </c>
      <c r="AJ81" s="20">
        <v>102.13</v>
      </c>
      <c r="AK81" s="20" t="s">
        <v>62</v>
      </c>
      <c r="AL81" s="6">
        <v>1</v>
      </c>
      <c r="AM81" s="6">
        <v>1</v>
      </c>
      <c r="AN81" s="19">
        <v>0.02</v>
      </c>
      <c r="AO81" s="6">
        <v>218</v>
      </c>
      <c r="AP81" s="6">
        <v>36</v>
      </c>
      <c r="AQ81" s="6"/>
      <c r="AR81" s="6"/>
      <c r="AS81" s="6"/>
      <c r="AT81" s="6"/>
      <c r="AU81" s="6"/>
      <c r="AV81" s="6"/>
    </row>
    <row r="82" spans="1:48" ht="15.4" x14ac:dyDescent="0.35">
      <c r="A82" s="9" t="s">
        <v>17</v>
      </c>
      <c r="B82" s="2">
        <v>2020</v>
      </c>
      <c r="C82" s="10">
        <v>0.43640000000000001</v>
      </c>
      <c r="D82" s="10">
        <v>0</v>
      </c>
      <c r="E82" s="10">
        <v>5.2299999999999999E-2</v>
      </c>
      <c r="F82" s="10">
        <v>2.5499999999999998E-2</v>
      </c>
      <c r="G82" s="3">
        <v>36877980</v>
      </c>
      <c r="H82" s="7" t="s">
        <v>62</v>
      </c>
      <c r="I82" s="20" t="s">
        <v>62</v>
      </c>
      <c r="J82" s="7">
        <v>989076841</v>
      </c>
      <c r="K82" s="7">
        <v>49000000</v>
      </c>
      <c r="L82" s="20" t="s">
        <v>181</v>
      </c>
      <c r="M82" s="20" t="s">
        <v>182</v>
      </c>
      <c r="N82" s="20" t="s">
        <v>183</v>
      </c>
      <c r="O82" s="20" t="s">
        <v>184</v>
      </c>
      <c r="P82" s="7" t="s">
        <v>185</v>
      </c>
      <c r="Q82" s="20" t="s">
        <v>186</v>
      </c>
      <c r="R82" s="20" t="s">
        <v>187</v>
      </c>
      <c r="S82" s="20" t="s">
        <v>62</v>
      </c>
      <c r="T82" s="20" t="s">
        <v>188</v>
      </c>
      <c r="U82" s="20" t="s">
        <v>189</v>
      </c>
      <c r="V82" s="20" t="s">
        <v>190</v>
      </c>
      <c r="W82" s="20" t="s">
        <v>191</v>
      </c>
      <c r="X82" s="20" t="s">
        <v>192</v>
      </c>
      <c r="Y82" s="20" t="s">
        <v>193</v>
      </c>
      <c r="Z82" s="20" t="s">
        <v>194</v>
      </c>
      <c r="AA82" s="20" t="s">
        <v>195</v>
      </c>
      <c r="AB82" s="20" t="s">
        <v>196</v>
      </c>
      <c r="AC82" s="20" t="s">
        <v>197</v>
      </c>
      <c r="AD82" s="20" t="s">
        <v>198</v>
      </c>
      <c r="AE82" s="20" t="s">
        <v>199</v>
      </c>
      <c r="AF82" s="20" t="s">
        <v>200</v>
      </c>
      <c r="AG82" s="20" t="s">
        <v>201</v>
      </c>
      <c r="AH82" s="20" t="s">
        <v>202</v>
      </c>
      <c r="AI82" s="20" t="s">
        <v>203</v>
      </c>
      <c r="AJ82" s="20" t="s">
        <v>204</v>
      </c>
      <c r="AK82" s="20" t="s">
        <v>62</v>
      </c>
      <c r="AL82" s="6">
        <v>1</v>
      </c>
      <c r="AM82" s="6">
        <v>1</v>
      </c>
      <c r="AN82" s="19">
        <v>2909</v>
      </c>
      <c r="AO82" s="6">
        <v>597</v>
      </c>
      <c r="AP82" s="6">
        <v>14</v>
      </c>
      <c r="AQ82" s="6"/>
      <c r="AR82" s="6"/>
      <c r="AS82" s="6"/>
      <c r="AT82" s="6"/>
      <c r="AU82" s="6"/>
      <c r="AV82" s="6"/>
    </row>
    <row r="83" spans="1:48" ht="15.4" x14ac:dyDescent="0.35">
      <c r="A83" s="9" t="s">
        <v>17</v>
      </c>
      <c r="B83" s="3">
        <v>2021</v>
      </c>
      <c r="C83" s="10">
        <v>0.4365</v>
      </c>
      <c r="D83" s="10">
        <v>0</v>
      </c>
      <c r="E83" s="19">
        <v>5.4600000000000003E-2</v>
      </c>
      <c r="F83" s="19">
        <v>2.6700000000000002E-2</v>
      </c>
      <c r="G83" s="6">
        <v>36877980</v>
      </c>
      <c r="H83" s="7" t="s">
        <v>62</v>
      </c>
      <c r="I83" s="20" t="s">
        <v>62</v>
      </c>
      <c r="J83" s="7" t="s">
        <v>159</v>
      </c>
      <c r="K83" s="7" t="s">
        <v>205</v>
      </c>
      <c r="L83" s="20" t="s">
        <v>206</v>
      </c>
      <c r="M83" s="20" t="s">
        <v>206</v>
      </c>
      <c r="N83" s="20" t="s">
        <v>207</v>
      </c>
      <c r="O83" s="20" t="s">
        <v>208</v>
      </c>
      <c r="P83" s="7" t="s">
        <v>209</v>
      </c>
      <c r="Q83" s="20" t="s">
        <v>207</v>
      </c>
      <c r="R83" s="20" t="s">
        <v>210</v>
      </c>
      <c r="S83" s="20" t="s">
        <v>62</v>
      </c>
      <c r="T83" s="20" t="s">
        <v>211</v>
      </c>
      <c r="U83" s="20" t="s">
        <v>62</v>
      </c>
      <c r="V83" s="20" t="s">
        <v>212</v>
      </c>
      <c r="W83" s="20" t="s">
        <v>213</v>
      </c>
      <c r="X83" s="23">
        <v>46359</v>
      </c>
      <c r="Y83" s="20" t="s">
        <v>214</v>
      </c>
      <c r="Z83" s="20" t="s">
        <v>215</v>
      </c>
      <c r="AA83" s="20" t="s">
        <v>216</v>
      </c>
      <c r="AB83" s="20" t="s">
        <v>217</v>
      </c>
      <c r="AC83" s="20" t="s">
        <v>208</v>
      </c>
      <c r="AD83" s="24">
        <v>46024</v>
      </c>
      <c r="AE83" s="20" t="s">
        <v>218</v>
      </c>
      <c r="AF83" s="20" t="s">
        <v>211</v>
      </c>
      <c r="AG83" s="20" t="s">
        <v>219</v>
      </c>
      <c r="AH83" s="20" t="s">
        <v>220</v>
      </c>
      <c r="AI83" s="20" t="s">
        <v>221</v>
      </c>
      <c r="AJ83" s="20" t="s">
        <v>222</v>
      </c>
      <c r="AK83" s="20" t="s">
        <v>62</v>
      </c>
      <c r="AL83" s="6">
        <v>1</v>
      </c>
      <c r="AM83" s="6">
        <v>1</v>
      </c>
      <c r="AN83" s="19">
        <v>4449</v>
      </c>
      <c r="AO83" s="6">
        <v>622</v>
      </c>
      <c r="AP83" s="6">
        <v>15</v>
      </c>
      <c r="AQ83" s="6"/>
      <c r="AR83" s="6"/>
      <c r="AS83" s="6"/>
      <c r="AT83" s="6"/>
      <c r="AU83" s="6"/>
      <c r="AV83" s="6"/>
    </row>
    <row r="84" spans="1:48" ht="15.4" x14ac:dyDescent="0.35">
      <c r="A84" s="9" t="s">
        <v>17</v>
      </c>
      <c r="B84" s="2">
        <v>2022</v>
      </c>
      <c r="C84" s="10">
        <v>0.43619999999999998</v>
      </c>
      <c r="D84" s="19">
        <v>0</v>
      </c>
      <c r="E84" s="19">
        <v>2.6499999999999999E-2</v>
      </c>
      <c r="F84" s="19">
        <v>2.87E-2</v>
      </c>
      <c r="G84" s="6">
        <v>36877980</v>
      </c>
      <c r="H84" s="7" t="s">
        <v>62</v>
      </c>
      <c r="I84" s="20" t="s">
        <v>62</v>
      </c>
      <c r="J84" s="7">
        <v>73714310000</v>
      </c>
      <c r="K84" s="7" t="s">
        <v>223</v>
      </c>
      <c r="L84" s="20" t="s">
        <v>224</v>
      </c>
      <c r="M84" s="20" t="s">
        <v>225</v>
      </c>
      <c r="N84" s="20" t="s">
        <v>226</v>
      </c>
      <c r="O84" s="20" t="s">
        <v>227</v>
      </c>
      <c r="P84" s="7" t="s">
        <v>228</v>
      </c>
      <c r="Q84" s="20" t="s">
        <v>229</v>
      </c>
      <c r="R84" s="20" t="s">
        <v>230</v>
      </c>
      <c r="S84" s="20" t="s">
        <v>62</v>
      </c>
      <c r="T84" s="20" t="s">
        <v>231</v>
      </c>
      <c r="U84" s="20" t="s">
        <v>62</v>
      </c>
      <c r="V84" s="20" t="s">
        <v>232</v>
      </c>
      <c r="W84" s="20" t="s">
        <v>233</v>
      </c>
      <c r="X84" s="20" t="s">
        <v>234</v>
      </c>
      <c r="Y84" s="20" t="s">
        <v>235</v>
      </c>
      <c r="Z84" s="20" t="s">
        <v>236</v>
      </c>
      <c r="AA84" s="20" t="s">
        <v>237</v>
      </c>
      <c r="AB84" s="20" t="s">
        <v>238</v>
      </c>
      <c r="AC84" s="20" t="s">
        <v>239</v>
      </c>
      <c r="AD84" s="20" t="s">
        <v>240</v>
      </c>
      <c r="AE84" s="20" t="s">
        <v>241</v>
      </c>
      <c r="AF84" s="20" t="s">
        <v>242</v>
      </c>
      <c r="AG84" s="20" t="s">
        <v>243</v>
      </c>
      <c r="AH84" s="20" t="s">
        <v>244</v>
      </c>
      <c r="AI84" s="20" t="s">
        <v>245</v>
      </c>
      <c r="AJ84" s="24">
        <v>46295</v>
      </c>
      <c r="AK84" s="20" t="s">
        <v>62</v>
      </c>
      <c r="AL84" s="6">
        <v>1</v>
      </c>
      <c r="AM84" s="6">
        <v>1</v>
      </c>
      <c r="AN84" s="19">
        <v>1997</v>
      </c>
      <c r="AO84" s="6">
        <v>647</v>
      </c>
      <c r="AP84" s="6">
        <v>16</v>
      </c>
      <c r="AQ84" s="6"/>
      <c r="AR84" s="6"/>
      <c r="AS84" s="6"/>
      <c r="AT84" s="6"/>
      <c r="AU84" s="6"/>
      <c r="AV84" s="6"/>
    </row>
    <row r="85" spans="1:48" ht="15.4" x14ac:dyDescent="0.35">
      <c r="A85" s="9" t="s">
        <v>17</v>
      </c>
      <c r="B85" s="3">
        <v>2023</v>
      </c>
      <c r="C85" s="19">
        <v>0.43619999999999998</v>
      </c>
      <c r="D85" s="19">
        <v>0</v>
      </c>
      <c r="E85" s="19">
        <v>3.1099999999999999E-2</v>
      </c>
      <c r="F85" s="19">
        <v>2.63E-2</v>
      </c>
      <c r="G85" s="6">
        <v>36877980</v>
      </c>
      <c r="H85" s="20" t="s">
        <v>62</v>
      </c>
      <c r="I85" s="20" t="s">
        <v>62</v>
      </c>
      <c r="J85" s="20" t="s">
        <v>159</v>
      </c>
      <c r="K85" s="7">
        <v>77000000</v>
      </c>
      <c r="L85" s="20" t="s">
        <v>246</v>
      </c>
      <c r="M85" s="20" t="s">
        <v>247</v>
      </c>
      <c r="N85" s="20" t="s">
        <v>248</v>
      </c>
      <c r="O85" s="20" t="s">
        <v>249</v>
      </c>
      <c r="P85" s="20" t="s">
        <v>250</v>
      </c>
      <c r="Q85" s="20" t="s">
        <v>251</v>
      </c>
      <c r="R85" s="20" t="s">
        <v>252</v>
      </c>
      <c r="S85" s="20" t="s">
        <v>62</v>
      </c>
      <c r="T85" s="20" t="s">
        <v>253</v>
      </c>
      <c r="U85" s="20" t="s">
        <v>62</v>
      </c>
      <c r="V85" s="20" t="s">
        <v>254</v>
      </c>
      <c r="W85" s="20" t="s">
        <v>255</v>
      </c>
      <c r="X85" s="20" t="s">
        <v>256</v>
      </c>
      <c r="Y85" s="20" t="s">
        <v>257</v>
      </c>
      <c r="Z85" s="20" t="s">
        <v>258</v>
      </c>
      <c r="AA85" s="20" t="s">
        <v>259</v>
      </c>
      <c r="AB85" s="20" t="s">
        <v>260</v>
      </c>
      <c r="AC85" s="20" t="s">
        <v>261</v>
      </c>
      <c r="AD85" s="20" t="s">
        <v>262</v>
      </c>
      <c r="AE85" s="20" t="s">
        <v>263</v>
      </c>
      <c r="AF85" s="20" t="s">
        <v>264</v>
      </c>
      <c r="AG85" s="20" t="s">
        <v>265</v>
      </c>
      <c r="AH85" s="20" t="s">
        <v>266</v>
      </c>
      <c r="AI85" s="7" t="s">
        <v>267</v>
      </c>
      <c r="AJ85" s="20" t="s">
        <v>268</v>
      </c>
      <c r="AK85" s="20" t="s">
        <v>62</v>
      </c>
      <c r="AL85" s="6">
        <v>1</v>
      </c>
      <c r="AM85" s="6">
        <v>1</v>
      </c>
      <c r="AN85" s="19">
        <v>-1297</v>
      </c>
      <c r="AO85" s="6">
        <v>589</v>
      </c>
      <c r="AP85" s="6">
        <v>17</v>
      </c>
      <c r="AQ85" s="6"/>
      <c r="AR85" s="6"/>
      <c r="AS85" s="6"/>
      <c r="AT85" s="6"/>
      <c r="AU85" s="6"/>
      <c r="AV85" s="6"/>
    </row>
    <row r="86" spans="1:48" ht="15.4" x14ac:dyDescent="0.35">
      <c r="A86" s="9" t="s">
        <v>17</v>
      </c>
      <c r="B86" s="2">
        <v>2024</v>
      </c>
      <c r="C86" s="19">
        <v>0.43619999999999998</v>
      </c>
      <c r="D86" s="19">
        <v>0</v>
      </c>
      <c r="E86" s="19">
        <v>2.6499999999999999E-2</v>
      </c>
      <c r="F86" s="19">
        <v>2.47E-2</v>
      </c>
      <c r="G86" s="6">
        <v>36877980</v>
      </c>
      <c r="H86" s="9" t="s">
        <v>62</v>
      </c>
      <c r="I86" s="20" t="s">
        <v>62</v>
      </c>
      <c r="J86" s="20" t="s">
        <v>159</v>
      </c>
      <c r="K86" s="7" t="s">
        <v>269</v>
      </c>
      <c r="L86" s="20" t="s">
        <v>270</v>
      </c>
      <c r="M86" s="20" t="s">
        <v>271</v>
      </c>
      <c r="N86" s="20" t="s">
        <v>272</v>
      </c>
      <c r="O86" s="20" t="s">
        <v>273</v>
      </c>
      <c r="P86" s="7" t="s">
        <v>274</v>
      </c>
      <c r="Q86" s="20" t="s">
        <v>275</v>
      </c>
      <c r="R86" s="20" t="s">
        <v>62</v>
      </c>
      <c r="S86" s="20" t="s">
        <v>62</v>
      </c>
      <c r="T86" s="20" t="s">
        <v>276</v>
      </c>
      <c r="U86" s="20" t="s">
        <v>62</v>
      </c>
      <c r="V86" s="20" t="s">
        <v>277</v>
      </c>
      <c r="W86" s="20" t="s">
        <v>278</v>
      </c>
      <c r="X86" s="20" t="s">
        <v>279</v>
      </c>
      <c r="Y86" s="20" t="s">
        <v>280</v>
      </c>
      <c r="Z86" s="20" t="s">
        <v>281</v>
      </c>
      <c r="AA86" s="20" t="s">
        <v>282</v>
      </c>
      <c r="AB86" s="20" t="s">
        <v>283</v>
      </c>
      <c r="AC86" s="20" t="s">
        <v>284</v>
      </c>
      <c r="AD86" s="20" t="s">
        <v>285</v>
      </c>
      <c r="AE86" s="20" t="s">
        <v>286</v>
      </c>
      <c r="AF86" s="20" t="s">
        <v>287</v>
      </c>
      <c r="AG86" s="20" t="s">
        <v>288</v>
      </c>
      <c r="AH86" s="20" t="s">
        <v>289</v>
      </c>
      <c r="AI86" s="20" t="s">
        <v>290</v>
      </c>
      <c r="AJ86" s="20" t="s">
        <v>291</v>
      </c>
      <c r="AK86" s="20" t="s">
        <v>62</v>
      </c>
      <c r="AL86" s="6">
        <v>1</v>
      </c>
      <c r="AM86" s="6">
        <v>1</v>
      </c>
      <c r="AN86" s="19">
        <v>-1172</v>
      </c>
      <c r="AO86" s="6">
        <v>510</v>
      </c>
      <c r="AP86" s="6">
        <v>18</v>
      </c>
      <c r="AQ86" s="6"/>
      <c r="AR86" s="6"/>
      <c r="AS86" s="6"/>
      <c r="AT86" s="6"/>
      <c r="AU86" s="6"/>
      <c r="AV86" s="6"/>
    </row>
    <row r="87" spans="1:48" ht="15.4" x14ac:dyDescent="0.35">
      <c r="A87" s="9" t="s">
        <v>10</v>
      </c>
      <c r="B87" s="2">
        <v>2020</v>
      </c>
      <c r="C87" s="19">
        <v>0.38529999999999998</v>
      </c>
      <c r="D87" s="19">
        <v>0.51</v>
      </c>
      <c r="E87" s="19">
        <v>0.64610000000000001</v>
      </c>
      <c r="F87" s="19">
        <v>5.1200000000000002E-2</v>
      </c>
      <c r="G87" s="7">
        <v>68470941</v>
      </c>
      <c r="H87" s="7" t="s">
        <v>62</v>
      </c>
      <c r="I87" s="20" t="s">
        <v>62</v>
      </c>
      <c r="J87" s="20">
        <v>32736143515</v>
      </c>
      <c r="K87" s="7">
        <v>789000000</v>
      </c>
      <c r="L87" s="20" t="s">
        <v>292</v>
      </c>
      <c r="M87" s="7" t="s">
        <v>293</v>
      </c>
      <c r="N87" s="20" t="s">
        <v>294</v>
      </c>
      <c r="O87" s="20" t="s">
        <v>295</v>
      </c>
      <c r="P87" s="20" t="s">
        <v>296</v>
      </c>
      <c r="Q87" s="20" t="s">
        <v>297</v>
      </c>
      <c r="R87" s="20" t="s">
        <v>298</v>
      </c>
      <c r="S87" s="20" t="s">
        <v>62</v>
      </c>
      <c r="T87" s="20" t="s">
        <v>299</v>
      </c>
      <c r="U87" s="20" t="s">
        <v>62</v>
      </c>
      <c r="V87" s="20" t="s">
        <v>189</v>
      </c>
      <c r="W87" s="20" t="s">
        <v>300</v>
      </c>
      <c r="X87" s="20" t="s">
        <v>301</v>
      </c>
      <c r="Y87" s="20" t="s">
        <v>302</v>
      </c>
      <c r="Z87" s="20" t="s">
        <v>303</v>
      </c>
      <c r="AA87" s="20" t="s">
        <v>304</v>
      </c>
      <c r="AB87" s="20" t="s">
        <v>305</v>
      </c>
      <c r="AC87" s="20" t="s">
        <v>306</v>
      </c>
      <c r="AD87" s="20" t="s">
        <v>307</v>
      </c>
      <c r="AE87" s="20" t="s">
        <v>308</v>
      </c>
      <c r="AF87" s="20" t="s">
        <v>309</v>
      </c>
      <c r="AG87" s="20" t="s">
        <v>310</v>
      </c>
      <c r="AH87" s="20" t="s">
        <v>311</v>
      </c>
      <c r="AI87" s="20" t="s">
        <v>312</v>
      </c>
      <c r="AJ87" s="20" t="s">
        <v>313</v>
      </c>
      <c r="AK87" s="7" t="s">
        <v>62</v>
      </c>
      <c r="AL87" s="6">
        <v>1</v>
      </c>
      <c r="AM87" s="6">
        <v>1</v>
      </c>
      <c r="AN87" s="19" t="s">
        <v>314</v>
      </c>
      <c r="AO87" s="6">
        <v>515</v>
      </c>
      <c r="AP87" s="7">
        <v>40</v>
      </c>
      <c r="AQ87" s="7"/>
      <c r="AR87" s="7"/>
      <c r="AS87" s="7"/>
      <c r="AT87" s="7"/>
      <c r="AU87" s="7"/>
      <c r="AV87" s="7"/>
    </row>
    <row r="88" spans="1:48" ht="15.4" x14ac:dyDescent="0.35">
      <c r="A88" s="9" t="s">
        <v>10</v>
      </c>
      <c r="B88" s="3">
        <v>2021</v>
      </c>
      <c r="C88" s="19">
        <v>0.3836</v>
      </c>
      <c r="D88" s="19">
        <v>0.51</v>
      </c>
      <c r="E88" s="19">
        <v>0.58020000000000005</v>
      </c>
      <c r="F88" s="19">
        <v>1.9699999999999999E-2</v>
      </c>
      <c r="G88" s="6">
        <v>68470941</v>
      </c>
      <c r="H88" s="7" t="s">
        <v>62</v>
      </c>
      <c r="I88" s="20" t="s">
        <v>62</v>
      </c>
      <c r="J88" s="7">
        <v>41065362570</v>
      </c>
      <c r="K88" s="7">
        <v>154000000</v>
      </c>
      <c r="L88" s="20" t="s">
        <v>315</v>
      </c>
      <c r="M88" s="20" t="s">
        <v>316</v>
      </c>
      <c r="N88" s="20" t="s">
        <v>317</v>
      </c>
      <c r="O88" s="20" t="s">
        <v>318</v>
      </c>
      <c r="P88" s="7" t="s">
        <v>319</v>
      </c>
      <c r="Q88" s="20" t="s">
        <v>320</v>
      </c>
      <c r="R88" s="20" t="s">
        <v>321</v>
      </c>
      <c r="S88" s="20" t="s">
        <v>62</v>
      </c>
      <c r="T88" s="20" t="s">
        <v>322</v>
      </c>
      <c r="U88" s="20" t="s">
        <v>62</v>
      </c>
      <c r="V88" s="20" t="s">
        <v>323</v>
      </c>
      <c r="W88" s="20" t="s">
        <v>324</v>
      </c>
      <c r="X88" s="20" t="s">
        <v>325</v>
      </c>
      <c r="Y88" s="20" t="s">
        <v>326</v>
      </c>
      <c r="Z88" s="20" t="s">
        <v>327</v>
      </c>
      <c r="AA88" s="20" t="s">
        <v>328</v>
      </c>
      <c r="AB88" s="20" t="s">
        <v>329</v>
      </c>
      <c r="AC88" s="20" t="s">
        <v>330</v>
      </c>
      <c r="AD88" s="20" t="s">
        <v>331</v>
      </c>
      <c r="AE88" s="20" t="s">
        <v>332</v>
      </c>
      <c r="AF88" s="20" t="s">
        <v>309</v>
      </c>
      <c r="AG88" s="20" t="s">
        <v>333</v>
      </c>
      <c r="AH88" s="20" t="s">
        <v>334</v>
      </c>
      <c r="AI88" s="20" t="s">
        <v>335</v>
      </c>
      <c r="AJ88" s="20" t="s">
        <v>336</v>
      </c>
      <c r="AK88" s="20" t="s">
        <v>62</v>
      </c>
      <c r="AL88" s="6">
        <v>1</v>
      </c>
      <c r="AM88" s="6">
        <v>1</v>
      </c>
      <c r="AN88" s="19">
        <v>3183</v>
      </c>
      <c r="AO88" s="6">
        <v>463</v>
      </c>
      <c r="AP88" s="6">
        <v>41</v>
      </c>
      <c r="AQ88" s="6"/>
      <c r="AR88" s="6"/>
      <c r="AS88" s="6"/>
      <c r="AT88" s="6"/>
      <c r="AU88" s="6"/>
      <c r="AV88" s="6"/>
    </row>
    <row r="89" spans="1:48" ht="15.4" x14ac:dyDescent="0.35">
      <c r="A89" s="9" t="s">
        <v>10</v>
      </c>
      <c r="B89" s="2">
        <v>2022</v>
      </c>
      <c r="C89" s="19">
        <v>0.3836</v>
      </c>
      <c r="D89" s="19">
        <v>0.51</v>
      </c>
      <c r="E89" s="19">
        <v>0.60819999999999996</v>
      </c>
      <c r="F89" s="10">
        <v>2.9100000000000001E-2</v>
      </c>
      <c r="G89" s="6">
        <v>68470941</v>
      </c>
      <c r="H89" s="7" t="s">
        <v>62</v>
      </c>
      <c r="I89" s="20" t="s">
        <v>62</v>
      </c>
      <c r="J89" s="7">
        <v>34235470500</v>
      </c>
      <c r="K89" s="7" t="s">
        <v>337</v>
      </c>
      <c r="L89" s="20" t="s">
        <v>338</v>
      </c>
      <c r="M89" s="20" t="s">
        <v>338</v>
      </c>
      <c r="N89" s="20" t="s">
        <v>339</v>
      </c>
      <c r="O89" s="20" t="s">
        <v>340</v>
      </c>
      <c r="P89" s="7" t="s">
        <v>341</v>
      </c>
      <c r="Q89" s="20" t="s">
        <v>342</v>
      </c>
      <c r="R89" s="20" t="s">
        <v>343</v>
      </c>
      <c r="S89" s="20" t="s">
        <v>62</v>
      </c>
      <c r="T89" s="20" t="s">
        <v>344</v>
      </c>
      <c r="U89" s="20" t="s">
        <v>62</v>
      </c>
      <c r="V89" s="20" t="s">
        <v>345</v>
      </c>
      <c r="W89" s="20" t="s">
        <v>346</v>
      </c>
      <c r="X89" s="20" t="s">
        <v>347</v>
      </c>
      <c r="Y89" s="20" t="s">
        <v>348</v>
      </c>
      <c r="Z89" s="20" t="s">
        <v>349</v>
      </c>
      <c r="AA89" s="20" t="s">
        <v>350</v>
      </c>
      <c r="AB89" s="20" t="s">
        <v>351</v>
      </c>
      <c r="AC89" s="20" t="s">
        <v>159</v>
      </c>
      <c r="AD89" s="20" t="s">
        <v>352</v>
      </c>
      <c r="AE89" s="20" t="s">
        <v>353</v>
      </c>
      <c r="AF89" s="20" t="s">
        <v>309</v>
      </c>
      <c r="AG89" s="20" t="s">
        <v>354</v>
      </c>
      <c r="AH89" s="20" t="s">
        <v>355</v>
      </c>
      <c r="AI89" s="20" t="s">
        <v>356</v>
      </c>
      <c r="AJ89" s="20" t="s">
        <v>357</v>
      </c>
      <c r="AK89" s="20" t="s">
        <v>62</v>
      </c>
      <c r="AL89" s="6">
        <v>1</v>
      </c>
      <c r="AM89" s="6">
        <v>1</v>
      </c>
      <c r="AN89" s="19">
        <v>2858</v>
      </c>
      <c r="AO89" s="6">
        <v>476</v>
      </c>
      <c r="AP89" s="6">
        <v>42</v>
      </c>
      <c r="AQ89" s="6"/>
      <c r="AR89" s="6"/>
      <c r="AS89" s="6"/>
      <c r="AT89" s="6"/>
      <c r="AU89" s="6"/>
      <c r="AV89" s="6"/>
    </row>
    <row r="90" spans="1:48" ht="15.4" x14ac:dyDescent="0.35">
      <c r="A90" s="9" t="s">
        <v>10</v>
      </c>
      <c r="B90" s="3">
        <v>2023</v>
      </c>
      <c r="C90" s="10">
        <v>0.38329999999999997</v>
      </c>
      <c r="D90" s="10">
        <v>0.51</v>
      </c>
      <c r="E90" s="10">
        <v>0.63529999999999998</v>
      </c>
      <c r="F90" s="19">
        <v>6.93E-2</v>
      </c>
      <c r="G90" s="6">
        <v>68470941</v>
      </c>
      <c r="H90" s="7" t="s">
        <v>62</v>
      </c>
      <c r="I90" s="20" t="s">
        <v>62</v>
      </c>
      <c r="J90" s="7">
        <v>82146840435</v>
      </c>
      <c r="K90" s="7" t="s">
        <v>358</v>
      </c>
      <c r="L90" s="20" t="s">
        <v>359</v>
      </c>
      <c r="M90" s="20" t="s">
        <v>359</v>
      </c>
      <c r="N90" s="20" t="s">
        <v>360</v>
      </c>
      <c r="O90" s="20" t="s">
        <v>361</v>
      </c>
      <c r="P90" s="7" t="s">
        <v>362</v>
      </c>
      <c r="Q90" s="20" t="s">
        <v>363</v>
      </c>
      <c r="R90" s="20" t="s">
        <v>364</v>
      </c>
      <c r="S90" s="20" t="s">
        <v>62</v>
      </c>
      <c r="T90" s="20" t="s">
        <v>365</v>
      </c>
      <c r="U90" s="20" t="s">
        <v>62</v>
      </c>
      <c r="V90" s="20" t="s">
        <v>366</v>
      </c>
      <c r="W90" s="20" t="s">
        <v>62</v>
      </c>
      <c r="X90" s="20" t="s">
        <v>367</v>
      </c>
      <c r="Y90" s="20" t="s">
        <v>368</v>
      </c>
      <c r="Z90" s="20" t="s">
        <v>369</v>
      </c>
      <c r="AA90" s="20" t="s">
        <v>370</v>
      </c>
      <c r="AB90" s="20" t="s">
        <v>371</v>
      </c>
      <c r="AC90" s="20" t="s">
        <v>159</v>
      </c>
      <c r="AD90" s="20" t="s">
        <v>372</v>
      </c>
      <c r="AE90" s="20" t="s">
        <v>373</v>
      </c>
      <c r="AF90" s="20" t="s">
        <v>374</v>
      </c>
      <c r="AG90" s="20" t="s">
        <v>375</v>
      </c>
      <c r="AH90" s="20" t="s">
        <v>376</v>
      </c>
      <c r="AI90" s="20" t="s">
        <v>377</v>
      </c>
      <c r="AJ90" s="20" t="s">
        <v>378</v>
      </c>
      <c r="AK90" s="20" t="s">
        <v>62</v>
      </c>
      <c r="AL90" s="6">
        <v>1</v>
      </c>
      <c r="AM90" s="6">
        <v>1</v>
      </c>
      <c r="AN90" s="19">
        <v>-3727</v>
      </c>
      <c r="AO90" s="6">
        <v>453</v>
      </c>
      <c r="AP90" s="6">
        <v>43</v>
      </c>
      <c r="AQ90" s="6"/>
      <c r="AR90" s="6"/>
      <c r="AS90" s="6"/>
      <c r="AT90" s="6"/>
      <c r="AU90" s="6"/>
      <c r="AV90" s="6"/>
    </row>
    <row r="91" spans="1:48" ht="15.75" customHeight="1" x14ac:dyDescent="0.35">
      <c r="A91" s="9" t="s">
        <v>10</v>
      </c>
      <c r="B91" s="2">
        <v>2024</v>
      </c>
      <c r="C91" s="10">
        <v>0.2974</v>
      </c>
      <c r="D91" s="10">
        <v>0</v>
      </c>
      <c r="E91" s="19">
        <v>0.56169999999999998</v>
      </c>
      <c r="F91" s="19">
        <v>0.11890000000000001</v>
      </c>
      <c r="G91" s="6">
        <v>68470941</v>
      </c>
      <c r="H91" s="20" t="s">
        <v>62</v>
      </c>
      <c r="I91" s="20" t="s">
        <v>62</v>
      </c>
      <c r="J91" s="20">
        <v>68483391035</v>
      </c>
      <c r="K91" s="19" t="s">
        <v>379</v>
      </c>
      <c r="L91" s="20" t="s">
        <v>380</v>
      </c>
      <c r="M91" s="20" t="s">
        <v>380</v>
      </c>
      <c r="N91" s="20" t="s">
        <v>381</v>
      </c>
      <c r="O91" s="20" t="s">
        <v>382</v>
      </c>
      <c r="P91" s="20" t="s">
        <v>383</v>
      </c>
      <c r="Q91" s="20" t="s">
        <v>384</v>
      </c>
      <c r="R91" s="7" t="s">
        <v>385</v>
      </c>
      <c r="S91" s="20" t="s">
        <v>62</v>
      </c>
      <c r="T91" s="20" t="s">
        <v>386</v>
      </c>
      <c r="U91" s="20" t="s">
        <v>62</v>
      </c>
      <c r="V91" s="7" t="s">
        <v>387</v>
      </c>
      <c r="W91" s="20" t="s">
        <v>388</v>
      </c>
      <c r="X91" s="20" t="s">
        <v>389</v>
      </c>
      <c r="Y91" s="20" t="s">
        <v>390</v>
      </c>
      <c r="Z91" s="20" t="s">
        <v>391</v>
      </c>
      <c r="AA91" s="20" t="s">
        <v>392</v>
      </c>
      <c r="AB91" s="20" t="s">
        <v>393</v>
      </c>
      <c r="AC91" s="20" t="s">
        <v>159</v>
      </c>
      <c r="AD91" s="20" t="s">
        <v>394</v>
      </c>
      <c r="AE91" s="20" t="s">
        <v>395</v>
      </c>
      <c r="AF91" s="20" t="s">
        <v>396</v>
      </c>
      <c r="AG91" s="20" t="s">
        <v>397</v>
      </c>
      <c r="AH91" s="20" t="s">
        <v>398</v>
      </c>
      <c r="AI91" s="20" t="s">
        <v>399</v>
      </c>
      <c r="AJ91" s="20" t="s">
        <v>400</v>
      </c>
      <c r="AK91" s="20" t="s">
        <v>62</v>
      </c>
      <c r="AL91" s="6">
        <v>1</v>
      </c>
      <c r="AM91" s="6">
        <v>1</v>
      </c>
      <c r="AN91" s="19">
        <v>367</v>
      </c>
      <c r="AO91" s="6">
        <v>428</v>
      </c>
      <c r="AP91" s="6">
        <v>44</v>
      </c>
      <c r="AQ91" s="6"/>
      <c r="AR91" s="6"/>
      <c r="AS91" s="6"/>
      <c r="AT91" s="6"/>
      <c r="AU91" s="6"/>
      <c r="AV91" s="6"/>
    </row>
    <row r="92" spans="1:48" ht="15.75" customHeight="1" x14ac:dyDescent="0.35">
      <c r="A92" s="9" t="s">
        <v>8</v>
      </c>
      <c r="B92" s="2">
        <v>2020</v>
      </c>
      <c r="C92" s="10">
        <v>1.6910999999999999E-2</v>
      </c>
      <c r="D92" s="10">
        <v>0</v>
      </c>
      <c r="E92" s="10">
        <v>0.78280000000000005</v>
      </c>
      <c r="F92" s="10">
        <v>3.7499999999999999E-2</v>
      </c>
      <c r="G92" s="3">
        <v>8376750</v>
      </c>
      <c r="H92" s="20" t="s">
        <v>62</v>
      </c>
      <c r="I92" s="20" t="s">
        <v>62</v>
      </c>
      <c r="J92" s="7">
        <v>5280703750</v>
      </c>
      <c r="K92" s="7">
        <v>575000000</v>
      </c>
      <c r="L92" s="20" t="s">
        <v>401</v>
      </c>
      <c r="M92" s="20" t="s">
        <v>402</v>
      </c>
      <c r="N92" s="20" t="s">
        <v>403</v>
      </c>
      <c r="O92" s="20" t="s">
        <v>404</v>
      </c>
      <c r="P92" s="7" t="s">
        <v>405</v>
      </c>
      <c r="Q92" s="20" t="s">
        <v>406</v>
      </c>
      <c r="R92" s="20" t="s">
        <v>62</v>
      </c>
      <c r="S92" s="20" t="s">
        <v>62</v>
      </c>
      <c r="T92" s="20" t="s">
        <v>407</v>
      </c>
      <c r="U92" s="20" t="s">
        <v>62</v>
      </c>
      <c r="V92" s="20" t="s">
        <v>408</v>
      </c>
      <c r="W92" s="20" t="s">
        <v>409</v>
      </c>
      <c r="X92" s="20" t="s">
        <v>410</v>
      </c>
      <c r="Y92" s="20" t="s">
        <v>411</v>
      </c>
      <c r="Z92" s="20" t="s">
        <v>412</v>
      </c>
      <c r="AA92" s="20" t="s">
        <v>413</v>
      </c>
      <c r="AB92" s="20" t="s">
        <v>414</v>
      </c>
      <c r="AC92" s="20" t="s">
        <v>415</v>
      </c>
      <c r="AD92" s="20" t="s">
        <v>62</v>
      </c>
      <c r="AE92" s="20" t="s">
        <v>416</v>
      </c>
      <c r="AF92" s="20" t="s">
        <v>417</v>
      </c>
      <c r="AG92" s="20" t="s">
        <v>418</v>
      </c>
      <c r="AH92" s="20" t="s">
        <v>419</v>
      </c>
      <c r="AI92" s="20" t="s">
        <v>62</v>
      </c>
      <c r="AJ92" s="20" t="s">
        <v>420</v>
      </c>
      <c r="AK92" s="20" t="s">
        <v>62</v>
      </c>
      <c r="AL92" s="6" t="s">
        <v>62</v>
      </c>
      <c r="AM92" s="6" t="s">
        <v>62</v>
      </c>
      <c r="AN92" s="19" t="s">
        <v>421</v>
      </c>
      <c r="AO92" s="6">
        <v>254</v>
      </c>
      <c r="AP92" s="6">
        <v>18</v>
      </c>
      <c r="AQ92" s="6"/>
      <c r="AR92" s="6"/>
      <c r="AS92" s="6"/>
      <c r="AT92" s="6"/>
      <c r="AU92" s="6"/>
      <c r="AV92" s="6"/>
    </row>
    <row r="93" spans="1:48" ht="15.4" x14ac:dyDescent="0.35">
      <c r="A93" s="9" t="s">
        <v>8</v>
      </c>
      <c r="B93" s="3">
        <v>2021</v>
      </c>
      <c r="C93" s="10">
        <v>1.452E-2</v>
      </c>
      <c r="D93" s="10" t="s">
        <v>62</v>
      </c>
      <c r="E93" s="10">
        <v>0.7893</v>
      </c>
      <c r="F93" s="19">
        <v>2.8999999999999998E-3</v>
      </c>
      <c r="G93" s="6">
        <v>26386701</v>
      </c>
      <c r="H93" s="20" t="s">
        <v>62</v>
      </c>
      <c r="I93" s="20" t="s">
        <v>62</v>
      </c>
      <c r="J93" s="7">
        <v>2200000000</v>
      </c>
      <c r="K93" s="7" t="s">
        <v>422</v>
      </c>
      <c r="L93" s="20" t="s">
        <v>423</v>
      </c>
      <c r="M93" s="20" t="s">
        <v>424</v>
      </c>
      <c r="N93" s="20" t="s">
        <v>425</v>
      </c>
      <c r="O93" s="20" t="s">
        <v>426</v>
      </c>
      <c r="P93" s="7" t="s">
        <v>427</v>
      </c>
      <c r="Q93" s="20" t="s">
        <v>428</v>
      </c>
      <c r="R93" s="20" t="s">
        <v>62</v>
      </c>
      <c r="S93" s="20" t="s">
        <v>62</v>
      </c>
      <c r="T93" s="20" t="s">
        <v>429</v>
      </c>
      <c r="U93" s="20" t="s">
        <v>62</v>
      </c>
      <c r="V93" s="20" t="s">
        <v>62</v>
      </c>
      <c r="W93" s="20" t="s">
        <v>430</v>
      </c>
      <c r="X93" s="20" t="s">
        <v>431</v>
      </c>
      <c r="Y93" s="20" t="s">
        <v>432</v>
      </c>
      <c r="Z93" s="20" t="s">
        <v>433</v>
      </c>
      <c r="AA93" s="20" t="s">
        <v>434</v>
      </c>
      <c r="AB93" s="20" t="s">
        <v>435</v>
      </c>
      <c r="AC93" s="20" t="s">
        <v>62</v>
      </c>
      <c r="AD93" s="20" t="s">
        <v>62</v>
      </c>
      <c r="AE93" s="20" t="s">
        <v>436</v>
      </c>
      <c r="AF93" s="20" t="s">
        <v>62</v>
      </c>
      <c r="AG93" s="20" t="s">
        <v>437</v>
      </c>
      <c r="AH93" s="20" t="s">
        <v>438</v>
      </c>
      <c r="AI93" s="20" t="s">
        <v>439</v>
      </c>
      <c r="AJ93" s="20" t="s">
        <v>440</v>
      </c>
      <c r="AK93" s="20" t="s">
        <v>62</v>
      </c>
      <c r="AL93" s="6" t="s">
        <v>62</v>
      </c>
      <c r="AM93" s="6" t="s">
        <v>62</v>
      </c>
      <c r="AN93" s="19" t="s">
        <v>441</v>
      </c>
      <c r="AO93" s="6">
        <v>243</v>
      </c>
      <c r="AP93" s="6">
        <v>19</v>
      </c>
      <c r="AQ93" s="6"/>
      <c r="AR93" s="6"/>
      <c r="AS93" s="6"/>
      <c r="AT93" s="6"/>
      <c r="AU93" s="6"/>
      <c r="AV93" s="6"/>
    </row>
    <row r="94" spans="1:48" ht="15.4" x14ac:dyDescent="0.35">
      <c r="A94" s="9" t="s">
        <v>8</v>
      </c>
      <c r="B94" s="2">
        <v>2022</v>
      </c>
      <c r="C94" s="10">
        <v>1.332E-2</v>
      </c>
      <c r="D94" s="19" t="s">
        <v>62</v>
      </c>
      <c r="E94" s="19">
        <v>0.81089999999999995</v>
      </c>
      <c r="F94" s="19">
        <v>0.81369999999999998</v>
      </c>
      <c r="G94" s="6">
        <v>31715880</v>
      </c>
      <c r="H94" s="9" t="s">
        <v>62</v>
      </c>
      <c r="I94" s="20" t="s">
        <v>62</v>
      </c>
      <c r="J94" s="7">
        <v>65966140500</v>
      </c>
      <c r="K94" s="7">
        <v>648000000</v>
      </c>
      <c r="L94" s="20" t="s">
        <v>442</v>
      </c>
      <c r="M94" s="20" t="s">
        <v>443</v>
      </c>
      <c r="N94" s="20" t="s">
        <v>444</v>
      </c>
      <c r="O94" s="20" t="s">
        <v>445</v>
      </c>
      <c r="P94" s="7" t="s">
        <v>446</v>
      </c>
      <c r="Q94" s="20" t="s">
        <v>447</v>
      </c>
      <c r="R94" s="20" t="s">
        <v>62</v>
      </c>
      <c r="S94" s="20" t="s">
        <v>62</v>
      </c>
      <c r="T94" s="20" t="s">
        <v>448</v>
      </c>
      <c r="U94" s="20" t="s">
        <v>62</v>
      </c>
      <c r="V94" s="20" t="s">
        <v>62</v>
      </c>
      <c r="W94" s="20" t="s">
        <v>449</v>
      </c>
      <c r="X94" s="20" t="s">
        <v>450</v>
      </c>
      <c r="Y94" s="20" t="s">
        <v>451</v>
      </c>
      <c r="Z94" s="20" t="s">
        <v>452</v>
      </c>
      <c r="AA94" s="20" t="s">
        <v>453</v>
      </c>
      <c r="AB94" s="20" t="s">
        <v>454</v>
      </c>
      <c r="AC94" s="20" t="s">
        <v>455</v>
      </c>
      <c r="AD94" s="20" t="s">
        <v>62</v>
      </c>
      <c r="AE94" s="20" t="s">
        <v>456</v>
      </c>
      <c r="AF94" s="20" t="s">
        <v>159</v>
      </c>
      <c r="AG94" s="20" t="s">
        <v>457</v>
      </c>
      <c r="AH94" s="20" t="s">
        <v>458</v>
      </c>
      <c r="AI94" s="20" t="s">
        <v>459</v>
      </c>
      <c r="AJ94" s="20" t="s">
        <v>460</v>
      </c>
      <c r="AK94" s="20" t="s">
        <v>62</v>
      </c>
      <c r="AL94" s="6" t="s">
        <v>62</v>
      </c>
      <c r="AM94" s="6" t="s">
        <v>62</v>
      </c>
      <c r="AN94" s="19" t="s">
        <v>461</v>
      </c>
      <c r="AO94" s="6">
        <v>230</v>
      </c>
      <c r="AP94" s="6">
        <v>20</v>
      </c>
      <c r="AQ94" s="6"/>
      <c r="AR94" s="6"/>
      <c r="AS94" s="6"/>
      <c r="AT94" s="6"/>
      <c r="AU94" s="6"/>
      <c r="AV94" s="6"/>
    </row>
    <row r="95" spans="1:48" ht="15.75" customHeight="1" x14ac:dyDescent="0.35">
      <c r="A95" s="9" t="s">
        <v>8</v>
      </c>
      <c r="B95" s="3">
        <v>2023</v>
      </c>
      <c r="C95" s="19">
        <v>1.2818E-2</v>
      </c>
      <c r="D95" s="19" t="s">
        <v>62</v>
      </c>
      <c r="E95" s="19">
        <v>0.84660000000000002</v>
      </c>
      <c r="F95" s="19">
        <v>3.8E-3</v>
      </c>
      <c r="G95" s="6">
        <v>31715880</v>
      </c>
      <c r="H95" s="20" t="s">
        <v>62</v>
      </c>
      <c r="I95" s="20" t="s">
        <v>62</v>
      </c>
      <c r="J95" s="20">
        <v>22190266000</v>
      </c>
      <c r="K95" s="7">
        <v>174000000</v>
      </c>
      <c r="L95" s="20" t="s">
        <v>462</v>
      </c>
      <c r="M95" s="20" t="s">
        <v>463</v>
      </c>
      <c r="N95" s="20" t="s">
        <v>464</v>
      </c>
      <c r="O95" s="20" t="s">
        <v>465</v>
      </c>
      <c r="P95" s="20" t="s">
        <v>466</v>
      </c>
      <c r="Q95" s="20" t="s">
        <v>467</v>
      </c>
      <c r="R95" s="20" t="s">
        <v>62</v>
      </c>
      <c r="S95" s="20" t="s">
        <v>62</v>
      </c>
      <c r="T95" s="20" t="s">
        <v>468</v>
      </c>
      <c r="U95" s="20" t="s">
        <v>62</v>
      </c>
      <c r="V95" s="20" t="s">
        <v>62</v>
      </c>
      <c r="W95" s="20" t="s">
        <v>469</v>
      </c>
      <c r="X95" s="20" t="s">
        <v>470</v>
      </c>
      <c r="Y95" s="20" t="s">
        <v>471</v>
      </c>
      <c r="Z95" s="20" t="s">
        <v>472</v>
      </c>
      <c r="AA95" s="20" t="s">
        <v>473</v>
      </c>
      <c r="AB95" s="20" t="s">
        <v>474</v>
      </c>
      <c r="AC95" s="20" t="s">
        <v>475</v>
      </c>
      <c r="AD95" s="20" t="s">
        <v>62</v>
      </c>
      <c r="AE95" s="23">
        <v>46332</v>
      </c>
      <c r="AF95" s="20" t="s">
        <v>476</v>
      </c>
      <c r="AG95" s="20" t="s">
        <v>477</v>
      </c>
      <c r="AH95" s="20" t="s">
        <v>419</v>
      </c>
      <c r="AI95" s="20" t="s">
        <v>478</v>
      </c>
      <c r="AJ95" s="20" t="s">
        <v>479</v>
      </c>
      <c r="AK95" s="20" t="s">
        <v>62</v>
      </c>
      <c r="AL95" s="6" t="s">
        <v>62</v>
      </c>
      <c r="AM95" s="6" t="s">
        <v>62</v>
      </c>
      <c r="AN95" s="19" t="s">
        <v>480</v>
      </c>
      <c r="AO95" s="6">
        <v>229</v>
      </c>
      <c r="AP95" s="7">
        <v>22</v>
      </c>
      <c r="AQ95" s="7"/>
      <c r="AR95" s="7"/>
      <c r="AS95" s="7"/>
      <c r="AT95" s="7"/>
      <c r="AU95" s="7"/>
      <c r="AV95" s="7"/>
    </row>
    <row r="96" spans="1:48" ht="15.75" customHeight="1" x14ac:dyDescent="0.35">
      <c r="A96" s="9" t="s">
        <v>8</v>
      </c>
      <c r="B96" s="2">
        <v>2024</v>
      </c>
      <c r="C96" s="19" t="s">
        <v>62</v>
      </c>
      <c r="D96" s="19" t="s">
        <v>62</v>
      </c>
      <c r="E96" s="19" t="s">
        <v>62</v>
      </c>
      <c r="F96" s="19" t="s">
        <v>62</v>
      </c>
      <c r="G96" s="6">
        <v>31700380</v>
      </c>
      <c r="H96" s="20" t="s">
        <v>62</v>
      </c>
      <c r="I96" s="20" t="s">
        <v>62</v>
      </c>
      <c r="J96" s="20">
        <v>27732310919</v>
      </c>
      <c r="K96" s="19" t="s">
        <v>481</v>
      </c>
      <c r="L96" s="20" t="s">
        <v>482</v>
      </c>
      <c r="M96" s="20" t="s">
        <v>483</v>
      </c>
      <c r="N96" s="20" t="s">
        <v>484</v>
      </c>
      <c r="O96" s="20" t="s">
        <v>485</v>
      </c>
      <c r="P96" s="20" t="s">
        <v>486</v>
      </c>
      <c r="Q96" s="20" t="s">
        <v>487</v>
      </c>
      <c r="R96" s="20" t="s">
        <v>62</v>
      </c>
      <c r="S96" s="20" t="s">
        <v>62</v>
      </c>
      <c r="T96" s="20" t="s">
        <v>488</v>
      </c>
      <c r="U96" s="20" t="s">
        <v>62</v>
      </c>
      <c r="V96" s="20" t="s">
        <v>62</v>
      </c>
      <c r="W96" s="20" t="s">
        <v>489</v>
      </c>
      <c r="X96" s="20" t="s">
        <v>490</v>
      </c>
      <c r="Y96" s="20" t="s">
        <v>491</v>
      </c>
      <c r="Z96" s="20" t="s">
        <v>492</v>
      </c>
      <c r="AA96" s="20" t="s">
        <v>493</v>
      </c>
      <c r="AB96" s="20" t="s">
        <v>494</v>
      </c>
      <c r="AC96" s="20" t="s">
        <v>159</v>
      </c>
      <c r="AD96" s="23" t="s">
        <v>495</v>
      </c>
      <c r="AE96" s="23">
        <v>46362</v>
      </c>
      <c r="AF96" s="20" t="s">
        <v>496</v>
      </c>
      <c r="AG96" s="20" t="s">
        <v>497</v>
      </c>
      <c r="AH96" s="20" t="s">
        <v>498</v>
      </c>
      <c r="AI96" s="20" t="s">
        <v>499</v>
      </c>
      <c r="AJ96" s="20" t="s">
        <v>500</v>
      </c>
      <c r="AK96" s="7" t="s">
        <v>62</v>
      </c>
      <c r="AL96" s="6" t="s">
        <v>62</v>
      </c>
      <c r="AM96" s="6">
        <v>1</v>
      </c>
      <c r="AN96" s="19">
        <v>5789</v>
      </c>
      <c r="AO96" s="7">
        <v>182</v>
      </c>
      <c r="AP96" s="7">
        <v>22</v>
      </c>
      <c r="AQ96" s="7"/>
      <c r="AR96" s="7"/>
      <c r="AS96" s="7"/>
      <c r="AT96" s="7"/>
      <c r="AU96" s="7"/>
      <c r="AV96" s="7"/>
    </row>
    <row r="97" spans="1:48" ht="15.4" x14ac:dyDescent="0.35">
      <c r="A97" s="9" t="s">
        <v>9</v>
      </c>
      <c r="B97" s="2">
        <v>2020</v>
      </c>
      <c r="C97" s="10">
        <v>8.2720000000000002E-2</v>
      </c>
      <c r="D97" s="19" t="s">
        <v>62</v>
      </c>
      <c r="E97" s="10">
        <v>0.25</v>
      </c>
      <c r="F97" s="10">
        <v>9.1399999999999995E-2</v>
      </c>
      <c r="G97" s="3">
        <v>9000000</v>
      </c>
      <c r="H97" s="20" t="s">
        <v>62</v>
      </c>
      <c r="I97" s="20" t="s">
        <v>62</v>
      </c>
      <c r="J97" s="7">
        <v>13500000000</v>
      </c>
      <c r="K97" s="7" t="s">
        <v>501</v>
      </c>
      <c r="L97" s="7" t="s">
        <v>502</v>
      </c>
      <c r="M97" s="20" t="s">
        <v>502</v>
      </c>
      <c r="N97" s="20" t="s">
        <v>503</v>
      </c>
      <c r="O97" s="20" t="s">
        <v>504</v>
      </c>
      <c r="P97" s="7" t="s">
        <v>62</v>
      </c>
      <c r="Q97" s="20" t="s">
        <v>505</v>
      </c>
      <c r="R97" s="20" t="s">
        <v>62</v>
      </c>
      <c r="S97" s="20" t="s">
        <v>62</v>
      </c>
      <c r="T97" s="20" t="s">
        <v>506</v>
      </c>
      <c r="U97" s="20" t="s">
        <v>62</v>
      </c>
      <c r="V97" s="20" t="s">
        <v>62</v>
      </c>
      <c r="W97" s="20" t="s">
        <v>507</v>
      </c>
      <c r="X97" s="20" t="s">
        <v>508</v>
      </c>
      <c r="Y97" s="20" t="s">
        <v>509</v>
      </c>
      <c r="Z97" s="20" t="s">
        <v>510</v>
      </c>
      <c r="AA97" s="20" t="s">
        <v>511</v>
      </c>
      <c r="AB97" s="20" t="s">
        <v>512</v>
      </c>
      <c r="AC97" s="20" t="s">
        <v>62</v>
      </c>
      <c r="AD97" s="20" t="s">
        <v>62</v>
      </c>
      <c r="AE97" s="20" t="s">
        <v>513</v>
      </c>
      <c r="AF97" s="20" t="s">
        <v>514</v>
      </c>
      <c r="AG97" s="20" t="s">
        <v>515</v>
      </c>
      <c r="AH97" s="20" t="s">
        <v>516</v>
      </c>
      <c r="AI97" s="20" t="s">
        <v>517</v>
      </c>
      <c r="AJ97" s="20" t="s">
        <v>518</v>
      </c>
      <c r="AK97" s="20" t="s">
        <v>62</v>
      </c>
      <c r="AL97" s="6" t="s">
        <v>62</v>
      </c>
      <c r="AM97" s="6" t="s">
        <v>62</v>
      </c>
      <c r="AN97" s="19" t="s">
        <v>519</v>
      </c>
      <c r="AO97" s="6">
        <v>339</v>
      </c>
      <c r="AP97" s="6">
        <v>21</v>
      </c>
      <c r="AQ97" s="8"/>
      <c r="AR97" s="8"/>
      <c r="AS97" s="7"/>
      <c r="AT97" s="7"/>
      <c r="AU97" s="8"/>
      <c r="AV97" s="7" t="s">
        <v>62</v>
      </c>
    </row>
    <row r="98" spans="1:48" ht="15.4" x14ac:dyDescent="0.35">
      <c r="A98" s="9" t="s">
        <v>9</v>
      </c>
      <c r="B98" s="3">
        <v>2021</v>
      </c>
      <c r="C98" s="10">
        <v>6.5920000000000006E-2</v>
      </c>
      <c r="D98" s="19" t="s">
        <v>62</v>
      </c>
      <c r="E98" s="10">
        <v>0.10100000000000001</v>
      </c>
      <c r="F98" s="19">
        <v>7.7499999999999999E-2</v>
      </c>
      <c r="G98" s="6">
        <v>9000000</v>
      </c>
      <c r="H98" s="20" t="s">
        <v>62</v>
      </c>
      <c r="I98" s="7" t="s">
        <v>62</v>
      </c>
      <c r="J98" s="7">
        <v>13500000000</v>
      </c>
      <c r="K98" s="7">
        <v>4110000000</v>
      </c>
      <c r="L98" s="20" t="s">
        <v>520</v>
      </c>
      <c r="M98" s="20" t="s">
        <v>520</v>
      </c>
      <c r="N98" s="20" t="s">
        <v>521</v>
      </c>
      <c r="O98" s="7" t="s">
        <v>522</v>
      </c>
      <c r="P98" s="20" t="s">
        <v>62</v>
      </c>
      <c r="Q98" s="24">
        <v>46192</v>
      </c>
      <c r="R98" s="20" t="s">
        <v>62</v>
      </c>
      <c r="S98" s="20" t="s">
        <v>62</v>
      </c>
      <c r="T98" s="20" t="s">
        <v>523</v>
      </c>
      <c r="U98" s="20" t="s">
        <v>62</v>
      </c>
      <c r="V98" s="20" t="s">
        <v>62</v>
      </c>
      <c r="W98" s="20" t="s">
        <v>524</v>
      </c>
      <c r="X98" s="20" t="s">
        <v>525</v>
      </c>
      <c r="Y98" s="20" t="s">
        <v>526</v>
      </c>
      <c r="Z98" s="20" t="s">
        <v>527</v>
      </c>
      <c r="AA98" s="20" t="s">
        <v>528</v>
      </c>
      <c r="AB98" s="20" t="s">
        <v>529</v>
      </c>
      <c r="AC98" s="20" t="s">
        <v>62</v>
      </c>
      <c r="AD98" s="20" t="s">
        <v>62</v>
      </c>
      <c r="AE98" s="20" t="s">
        <v>530</v>
      </c>
      <c r="AF98" s="20" t="s">
        <v>531</v>
      </c>
      <c r="AG98" s="20" t="s">
        <v>532</v>
      </c>
      <c r="AH98" s="24">
        <v>46117</v>
      </c>
      <c r="AI98" s="20" t="s">
        <v>533</v>
      </c>
      <c r="AJ98" s="20" t="s">
        <v>534</v>
      </c>
      <c r="AK98" s="20" t="s">
        <v>62</v>
      </c>
      <c r="AL98" s="6" t="s">
        <v>62</v>
      </c>
      <c r="AM98" s="6" t="s">
        <v>62</v>
      </c>
      <c r="AN98" s="19" t="s">
        <v>535</v>
      </c>
      <c r="AO98" s="6">
        <v>332</v>
      </c>
      <c r="AP98" s="7">
        <v>22</v>
      </c>
      <c r="AQ98" s="7"/>
      <c r="AR98" s="7"/>
      <c r="AS98" s="7"/>
      <c r="AT98" s="7"/>
      <c r="AU98" s="7"/>
      <c r="AV98" s="7"/>
    </row>
    <row r="99" spans="1:48" ht="15.4" x14ac:dyDescent="0.35">
      <c r="A99" s="9" t="s">
        <v>9</v>
      </c>
      <c r="B99" s="2">
        <v>2022</v>
      </c>
      <c r="C99" s="10">
        <v>7.0000000000000007E-2</v>
      </c>
      <c r="D99" s="19" t="s">
        <v>62</v>
      </c>
      <c r="E99" s="19">
        <v>0.10829999999999999</v>
      </c>
      <c r="F99" s="19">
        <v>9.5000000000000001E-2</v>
      </c>
      <c r="G99" s="6">
        <v>9427000</v>
      </c>
      <c r="H99" s="7" t="s">
        <v>62</v>
      </c>
      <c r="I99" s="7" t="s">
        <v>62</v>
      </c>
      <c r="J99" s="20">
        <v>18512400000</v>
      </c>
      <c r="K99" s="19" t="s">
        <v>536</v>
      </c>
      <c r="L99" s="20" t="s">
        <v>537</v>
      </c>
      <c r="M99" s="20" t="s">
        <v>537</v>
      </c>
      <c r="N99" s="7" t="s">
        <v>538</v>
      </c>
      <c r="O99" s="20" t="s">
        <v>539</v>
      </c>
      <c r="P99" s="20" t="s">
        <v>540</v>
      </c>
      <c r="Q99" s="20" t="s">
        <v>541</v>
      </c>
      <c r="R99" s="20" t="s">
        <v>62</v>
      </c>
      <c r="S99" s="20" t="s">
        <v>62</v>
      </c>
      <c r="T99" s="20" t="s">
        <v>542</v>
      </c>
      <c r="U99" s="20" t="s">
        <v>62</v>
      </c>
      <c r="V99" s="20" t="s">
        <v>62</v>
      </c>
      <c r="W99" s="20" t="s">
        <v>543</v>
      </c>
      <c r="X99" s="20" t="s">
        <v>544</v>
      </c>
      <c r="Y99" s="20" t="s">
        <v>545</v>
      </c>
      <c r="Z99" s="20" t="s">
        <v>546</v>
      </c>
      <c r="AA99" s="20" t="s">
        <v>547</v>
      </c>
      <c r="AB99" s="20" t="s">
        <v>548</v>
      </c>
      <c r="AC99" s="20" t="s">
        <v>62</v>
      </c>
      <c r="AD99" s="20" t="s">
        <v>62</v>
      </c>
      <c r="AE99" s="20" t="s">
        <v>549</v>
      </c>
      <c r="AF99" s="20" t="s">
        <v>550</v>
      </c>
      <c r="AG99" s="20" t="s">
        <v>551</v>
      </c>
      <c r="AH99" s="20" t="s">
        <v>552</v>
      </c>
      <c r="AI99" s="20" t="s">
        <v>553</v>
      </c>
      <c r="AJ99" s="20" t="s">
        <v>554</v>
      </c>
      <c r="AK99" s="20" t="s">
        <v>62</v>
      </c>
      <c r="AL99" s="6" t="s">
        <v>62</v>
      </c>
      <c r="AM99" s="6" t="s">
        <v>62</v>
      </c>
      <c r="AN99" s="19" t="s">
        <v>555</v>
      </c>
      <c r="AO99" s="7">
        <v>312</v>
      </c>
      <c r="AP99" s="7">
        <v>23</v>
      </c>
      <c r="AQ99" s="7"/>
      <c r="AR99" s="7"/>
      <c r="AS99" s="7"/>
      <c r="AT99" s="7"/>
      <c r="AU99" s="7"/>
      <c r="AV99" s="7"/>
    </row>
    <row r="100" spans="1:48" ht="15.4" x14ac:dyDescent="0.35">
      <c r="A100" s="9" t="s">
        <v>9</v>
      </c>
      <c r="B100" s="3">
        <v>2023</v>
      </c>
      <c r="C100" s="19">
        <v>6.7299999999999999E-2</v>
      </c>
      <c r="D100" s="19">
        <v>0</v>
      </c>
      <c r="E100" s="19">
        <v>0.15049999999999999</v>
      </c>
      <c r="F100" s="19">
        <v>0.11409999999999999</v>
      </c>
      <c r="G100" s="6">
        <v>14140487</v>
      </c>
      <c r="H100" s="7" t="s">
        <v>62</v>
      </c>
      <c r="I100" s="7" t="s">
        <v>62</v>
      </c>
      <c r="J100" s="20">
        <v>14611843500</v>
      </c>
      <c r="K100" s="19" t="s">
        <v>556</v>
      </c>
      <c r="L100" s="20" t="s">
        <v>557</v>
      </c>
      <c r="M100" s="20" t="s">
        <v>557</v>
      </c>
      <c r="N100" s="7" t="s">
        <v>558</v>
      </c>
      <c r="O100" s="20" t="s">
        <v>559</v>
      </c>
      <c r="P100" s="20" t="s">
        <v>62</v>
      </c>
      <c r="Q100" s="24">
        <v>46167</v>
      </c>
      <c r="R100" s="20" t="s">
        <v>62</v>
      </c>
      <c r="S100" s="20" t="s">
        <v>62</v>
      </c>
      <c r="T100" s="20" t="s">
        <v>560</v>
      </c>
      <c r="U100" s="20" t="s">
        <v>62</v>
      </c>
      <c r="V100" s="20" t="s">
        <v>62</v>
      </c>
      <c r="W100" s="20" t="s">
        <v>561</v>
      </c>
      <c r="X100" s="20" t="s">
        <v>562</v>
      </c>
      <c r="Y100" s="20" t="s">
        <v>563</v>
      </c>
      <c r="Z100" s="20" t="s">
        <v>564</v>
      </c>
      <c r="AA100" s="20" t="s">
        <v>565</v>
      </c>
      <c r="AB100" s="20" t="s">
        <v>566</v>
      </c>
      <c r="AC100" s="20" t="s">
        <v>62</v>
      </c>
      <c r="AD100" s="20" t="s">
        <v>62</v>
      </c>
      <c r="AE100" s="20" t="s">
        <v>567</v>
      </c>
      <c r="AF100" s="20" t="s">
        <v>568</v>
      </c>
      <c r="AG100" s="20" t="s">
        <v>569</v>
      </c>
      <c r="AH100" s="20" t="s">
        <v>570</v>
      </c>
      <c r="AI100" s="20" t="s">
        <v>571</v>
      </c>
      <c r="AJ100" s="20" t="s">
        <v>572</v>
      </c>
      <c r="AK100" s="20" t="s">
        <v>62</v>
      </c>
      <c r="AL100" s="6" t="s">
        <v>62</v>
      </c>
      <c r="AM100" s="6" t="s">
        <v>62</v>
      </c>
      <c r="AN100" s="19" t="s">
        <v>573</v>
      </c>
      <c r="AO100" s="7">
        <v>310</v>
      </c>
      <c r="AP100" s="7">
        <v>24</v>
      </c>
      <c r="AQ100" s="7"/>
      <c r="AR100" s="7"/>
      <c r="AS100" s="7"/>
      <c r="AT100" s="7"/>
      <c r="AU100" s="7"/>
      <c r="AV100" s="7"/>
    </row>
    <row r="101" spans="1:48" ht="15.4" x14ac:dyDescent="0.35">
      <c r="A101" s="9" t="s">
        <v>9</v>
      </c>
      <c r="B101" s="2">
        <v>2024</v>
      </c>
      <c r="C101" s="19">
        <v>5.7099999999999998E-2</v>
      </c>
      <c r="D101" s="19" t="s">
        <v>62</v>
      </c>
      <c r="E101" s="19">
        <v>0.19220000000000001</v>
      </c>
      <c r="F101" s="19">
        <v>0.1265</v>
      </c>
      <c r="G101" s="6">
        <v>14140487</v>
      </c>
      <c r="H101" s="20" t="s">
        <v>62</v>
      </c>
      <c r="I101" s="20" t="s">
        <v>62</v>
      </c>
      <c r="J101" s="20">
        <v>16968584400</v>
      </c>
      <c r="K101" s="19" t="s">
        <v>574</v>
      </c>
      <c r="L101" s="20" t="s">
        <v>575</v>
      </c>
      <c r="M101" s="20" t="s">
        <v>575</v>
      </c>
      <c r="N101" s="20" t="s">
        <v>576</v>
      </c>
      <c r="O101" s="20" t="s">
        <v>577</v>
      </c>
      <c r="P101" s="20" t="s">
        <v>62</v>
      </c>
      <c r="Q101" s="20" t="s">
        <v>578</v>
      </c>
      <c r="R101" s="7" t="s">
        <v>62</v>
      </c>
      <c r="S101" s="7" t="s">
        <v>62</v>
      </c>
      <c r="T101" s="20" t="s">
        <v>579</v>
      </c>
      <c r="U101" s="20" t="s">
        <v>62</v>
      </c>
      <c r="V101" s="7" t="s">
        <v>62</v>
      </c>
      <c r="W101" s="7" t="s">
        <v>580</v>
      </c>
      <c r="X101" s="20" t="s">
        <v>581</v>
      </c>
      <c r="Y101" s="20" t="s">
        <v>582</v>
      </c>
      <c r="Z101" s="20" t="s">
        <v>583</v>
      </c>
      <c r="AA101" s="20" t="s">
        <v>584</v>
      </c>
      <c r="AB101" s="20" t="s">
        <v>585</v>
      </c>
      <c r="AC101" s="20" t="s">
        <v>586</v>
      </c>
      <c r="AD101" s="20" t="s">
        <v>62</v>
      </c>
      <c r="AE101" s="20" t="s">
        <v>587</v>
      </c>
      <c r="AF101" s="20" t="s">
        <v>588</v>
      </c>
      <c r="AG101" s="24">
        <v>46034</v>
      </c>
      <c r="AH101" s="20" t="s">
        <v>589</v>
      </c>
      <c r="AI101" s="20" t="s">
        <v>590</v>
      </c>
      <c r="AJ101" s="20" t="s">
        <v>591</v>
      </c>
      <c r="AK101" s="20" t="s">
        <v>62</v>
      </c>
      <c r="AL101" s="6" t="s">
        <v>62</v>
      </c>
      <c r="AM101" s="6" t="s">
        <v>62</v>
      </c>
      <c r="AN101" s="19" t="s">
        <v>592</v>
      </c>
      <c r="AO101" s="6">
        <v>339</v>
      </c>
      <c r="AP101" s="6">
        <v>25</v>
      </c>
      <c r="AQ101" s="6"/>
      <c r="AR101" s="6"/>
      <c r="AS101" s="6"/>
      <c r="AT101" s="6"/>
      <c r="AU101" s="6"/>
      <c r="AV101" s="6"/>
    </row>
    <row r="102" spans="1:48" ht="15.4" x14ac:dyDescent="0.35">
      <c r="A102" s="9"/>
      <c r="B102" s="3"/>
      <c r="C102" s="10"/>
      <c r="D102" s="10"/>
      <c r="E102" s="10"/>
      <c r="F102" s="10"/>
      <c r="G102" s="3"/>
      <c r="H102" s="9"/>
      <c r="I102" s="9"/>
      <c r="J102" s="9"/>
      <c r="K102" s="10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3"/>
      <c r="AM102" s="3"/>
      <c r="AN102" s="10"/>
      <c r="AO102" s="3"/>
      <c r="AP102" s="3"/>
      <c r="AQ102" s="3"/>
      <c r="AR102" s="3"/>
      <c r="AS102" s="3"/>
      <c r="AT102" s="3"/>
      <c r="AU102" s="3"/>
      <c r="AV102" s="3"/>
    </row>
    <row r="103" spans="1:48" ht="15.4" x14ac:dyDescent="0.35">
      <c r="A103" s="9"/>
      <c r="B103" s="3"/>
      <c r="C103" s="10"/>
      <c r="D103" s="10"/>
      <c r="E103" s="10"/>
      <c r="F103" s="10"/>
      <c r="G103" s="3"/>
      <c r="H103" s="9"/>
      <c r="I103" s="9"/>
      <c r="J103" s="9"/>
      <c r="K103" s="10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3"/>
      <c r="AM103" s="3"/>
      <c r="AN103" s="10"/>
      <c r="AO103" s="3"/>
      <c r="AP103" s="3"/>
      <c r="AQ103" s="3"/>
      <c r="AR103" s="3"/>
      <c r="AS103" s="3"/>
      <c r="AT103" s="3"/>
      <c r="AU103" s="3"/>
      <c r="AV103" s="3"/>
    </row>
    <row r="104" spans="1:48" ht="15.4" x14ac:dyDescent="0.35">
      <c r="A104" s="9"/>
      <c r="B104" s="3"/>
      <c r="C104" s="10"/>
      <c r="D104" s="10"/>
      <c r="E104" s="10"/>
      <c r="F104" s="10"/>
      <c r="G104" s="3"/>
      <c r="H104" s="9"/>
      <c r="I104" s="9"/>
      <c r="J104" s="9"/>
      <c r="K104" s="10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3"/>
      <c r="AM104" s="3"/>
      <c r="AN104" s="10"/>
      <c r="AO104" s="3"/>
      <c r="AP104" s="3"/>
      <c r="AQ104" s="3"/>
      <c r="AR104" s="3"/>
      <c r="AS104" s="3"/>
      <c r="AT104" s="3"/>
      <c r="AU104" s="3"/>
      <c r="AV104" s="3"/>
    </row>
    <row r="105" spans="1:48" ht="15.4" x14ac:dyDescent="0.35">
      <c r="A105" s="9"/>
      <c r="B105" s="3"/>
      <c r="C105" s="10"/>
      <c r="D105" s="10"/>
      <c r="E105" s="10"/>
      <c r="F105" s="10"/>
      <c r="G105" s="3"/>
      <c r="H105" s="9"/>
      <c r="I105" s="9"/>
      <c r="J105" s="9"/>
      <c r="K105" s="10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3"/>
      <c r="AM105" s="3"/>
      <c r="AN105" s="10"/>
      <c r="AO105" s="3"/>
      <c r="AP105" s="3"/>
      <c r="AQ105" s="3"/>
      <c r="AR105" s="3"/>
      <c r="AS105" s="3"/>
      <c r="AT105" s="3"/>
      <c r="AU105" s="3"/>
      <c r="AV105" s="3"/>
    </row>
    <row r="106" spans="1:48" ht="15.4" x14ac:dyDescent="0.35">
      <c r="A106" s="9"/>
      <c r="B106" s="3"/>
      <c r="C106" s="10"/>
      <c r="D106" s="10"/>
      <c r="E106" s="10"/>
      <c r="F106" s="10"/>
      <c r="G106" s="3"/>
      <c r="H106" s="9"/>
      <c r="I106" s="9"/>
      <c r="J106" s="9"/>
      <c r="K106" s="10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3"/>
      <c r="AM106" s="3"/>
      <c r="AN106" s="10"/>
      <c r="AO106" s="3"/>
      <c r="AP106" s="3"/>
      <c r="AQ106" s="3"/>
      <c r="AR106" s="3"/>
      <c r="AS106" s="3"/>
      <c r="AT106" s="3"/>
      <c r="AU106" s="3"/>
      <c r="AV106" s="3"/>
    </row>
    <row r="107" spans="1:48" ht="15.4" x14ac:dyDescent="0.35">
      <c r="A107" s="9"/>
      <c r="B107" s="3"/>
      <c r="C107" s="10"/>
      <c r="D107" s="10"/>
      <c r="E107" s="10"/>
      <c r="F107" s="10"/>
      <c r="G107" s="3"/>
      <c r="H107" s="9"/>
      <c r="I107" s="9"/>
      <c r="J107" s="9"/>
      <c r="K107" s="10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3"/>
      <c r="AM107" s="3"/>
      <c r="AN107" s="10"/>
      <c r="AO107" s="3"/>
      <c r="AP107" s="3"/>
      <c r="AQ107" s="3"/>
      <c r="AR107" s="3"/>
      <c r="AS107" s="3"/>
      <c r="AT107" s="3"/>
      <c r="AU107" s="3"/>
      <c r="AV107" s="3"/>
    </row>
    <row r="108" spans="1:48" ht="15.4" x14ac:dyDescent="0.35">
      <c r="A108" s="9"/>
      <c r="B108" s="3"/>
      <c r="C108" s="10"/>
      <c r="D108" s="10"/>
      <c r="E108" s="10"/>
      <c r="F108" s="10"/>
      <c r="G108" s="3"/>
      <c r="H108" s="9"/>
      <c r="I108" s="9"/>
      <c r="J108" s="9"/>
      <c r="K108" s="10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3"/>
      <c r="AM108" s="3"/>
      <c r="AN108" s="10"/>
      <c r="AO108" s="3"/>
      <c r="AP108" s="3"/>
      <c r="AQ108" s="3"/>
      <c r="AR108" s="3"/>
      <c r="AS108" s="3"/>
      <c r="AT108" s="3"/>
      <c r="AU108" s="3"/>
      <c r="AV108" s="3"/>
    </row>
    <row r="109" spans="1:48" ht="15.4" x14ac:dyDescent="0.35">
      <c r="A109" s="9"/>
      <c r="B109" s="3"/>
      <c r="C109" s="10"/>
      <c r="D109" s="10"/>
      <c r="E109" s="10"/>
      <c r="F109" s="10"/>
      <c r="G109" s="3"/>
      <c r="H109" s="9"/>
      <c r="I109" s="9"/>
      <c r="J109" s="9"/>
      <c r="K109" s="10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3"/>
      <c r="AM109" s="3"/>
      <c r="AN109" s="10"/>
      <c r="AO109" s="3"/>
      <c r="AP109" s="3"/>
      <c r="AQ109" s="3"/>
      <c r="AR109" s="3"/>
      <c r="AS109" s="3"/>
      <c r="AT109" s="3"/>
      <c r="AU109" s="3"/>
      <c r="AV109" s="3"/>
    </row>
    <row r="110" spans="1:48" ht="15.4" x14ac:dyDescent="0.35">
      <c r="A110" s="9"/>
      <c r="B110" s="3"/>
      <c r="C110" s="10"/>
      <c r="D110" s="10"/>
      <c r="E110" s="10"/>
      <c r="F110" s="10"/>
      <c r="G110" s="3"/>
      <c r="H110" s="9"/>
      <c r="I110" s="9"/>
      <c r="J110" s="9"/>
      <c r="K110" s="10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3"/>
      <c r="AM110" s="3"/>
      <c r="AN110" s="10"/>
      <c r="AO110" s="3"/>
      <c r="AP110" s="3"/>
      <c r="AQ110" s="3"/>
      <c r="AR110" s="3"/>
      <c r="AS110" s="3"/>
      <c r="AT110" s="3"/>
      <c r="AU110" s="3"/>
      <c r="AV110" s="3"/>
    </row>
    <row r="111" spans="1:48" ht="15.4" x14ac:dyDescent="0.35">
      <c r="A111" s="9"/>
      <c r="B111" s="3"/>
      <c r="C111" s="10"/>
      <c r="D111" s="10"/>
      <c r="E111" s="10"/>
      <c r="F111" s="10"/>
      <c r="G111" s="3"/>
      <c r="H111" s="9"/>
      <c r="I111" s="9"/>
      <c r="J111" s="9"/>
      <c r="K111" s="10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3"/>
      <c r="AM111" s="3"/>
      <c r="AN111" s="10"/>
      <c r="AO111" s="3"/>
      <c r="AP111" s="3"/>
      <c r="AQ111" s="3"/>
      <c r="AR111" s="3"/>
      <c r="AS111" s="3"/>
      <c r="AT111" s="3"/>
      <c r="AU111" s="3"/>
      <c r="AV111" s="3"/>
    </row>
    <row r="112" spans="1:48" ht="15.4" x14ac:dyDescent="0.35">
      <c r="A112" s="9"/>
      <c r="B112" s="3"/>
      <c r="C112" s="10"/>
      <c r="D112" s="10"/>
      <c r="E112" s="10"/>
      <c r="F112" s="10"/>
      <c r="G112" s="3"/>
      <c r="H112" s="9"/>
      <c r="I112" s="9"/>
      <c r="J112" s="9"/>
      <c r="K112" s="10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3"/>
      <c r="AM112" s="3"/>
      <c r="AN112" s="10"/>
      <c r="AO112" s="3"/>
      <c r="AP112" s="3"/>
      <c r="AQ112" s="3"/>
      <c r="AR112" s="3"/>
      <c r="AS112" s="3"/>
      <c r="AT112" s="3"/>
      <c r="AU112" s="3"/>
      <c r="AV112" s="3"/>
    </row>
    <row r="113" spans="1:48" ht="15.4" x14ac:dyDescent="0.35">
      <c r="A113" s="9"/>
      <c r="B113" s="3"/>
      <c r="C113" s="10"/>
      <c r="D113" s="10"/>
      <c r="E113" s="10"/>
      <c r="F113" s="10"/>
      <c r="G113" s="3"/>
      <c r="H113" s="9"/>
      <c r="I113" s="9"/>
      <c r="J113" s="9"/>
      <c r="K113" s="10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3"/>
      <c r="AM113" s="3"/>
      <c r="AN113" s="10"/>
      <c r="AO113" s="3"/>
      <c r="AP113" s="3"/>
      <c r="AQ113" s="3"/>
      <c r="AR113" s="3"/>
      <c r="AS113" s="3"/>
      <c r="AT113" s="3"/>
      <c r="AU113" s="3"/>
      <c r="AV113" s="3"/>
    </row>
    <row r="114" spans="1:48" ht="15.4" x14ac:dyDescent="0.35">
      <c r="A114" s="9"/>
      <c r="B114" s="3"/>
      <c r="C114" s="10"/>
      <c r="D114" s="10"/>
      <c r="E114" s="10"/>
      <c r="F114" s="10"/>
      <c r="G114" s="3"/>
      <c r="H114" s="9"/>
      <c r="I114" s="9"/>
      <c r="J114" s="9"/>
      <c r="K114" s="10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3"/>
      <c r="AM114" s="3"/>
      <c r="AN114" s="10"/>
      <c r="AO114" s="3"/>
      <c r="AP114" s="3"/>
      <c r="AQ114" s="3"/>
      <c r="AR114" s="3"/>
      <c r="AS114" s="3"/>
      <c r="AT114" s="3"/>
      <c r="AU114" s="3"/>
      <c r="AV114" s="3"/>
    </row>
    <row r="115" spans="1:48" ht="15.4" x14ac:dyDescent="0.35">
      <c r="A115" s="9"/>
      <c r="B115" s="3"/>
      <c r="C115" s="10"/>
      <c r="D115" s="10"/>
      <c r="E115" s="10"/>
      <c r="F115" s="10"/>
      <c r="G115" s="3"/>
      <c r="H115" s="9"/>
      <c r="I115" s="9"/>
      <c r="J115" s="9"/>
      <c r="K115" s="10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3"/>
      <c r="AM115" s="3"/>
      <c r="AN115" s="10"/>
      <c r="AO115" s="3"/>
      <c r="AP115" s="3"/>
      <c r="AQ115" s="3"/>
      <c r="AR115" s="3"/>
      <c r="AS115" s="3"/>
      <c r="AT115" s="3"/>
      <c r="AU115" s="3"/>
      <c r="AV115" s="3"/>
    </row>
    <row r="116" spans="1:48" ht="15.4" x14ac:dyDescent="0.35">
      <c r="A116" s="9"/>
      <c r="B116" s="3"/>
      <c r="C116" s="10"/>
      <c r="D116" s="10"/>
      <c r="E116" s="10"/>
      <c r="F116" s="10"/>
      <c r="G116" s="3"/>
      <c r="H116" s="9"/>
      <c r="I116" s="9"/>
      <c r="J116" s="9"/>
      <c r="K116" s="10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3"/>
      <c r="AM116" s="3"/>
      <c r="AN116" s="10"/>
      <c r="AO116" s="3"/>
      <c r="AP116" s="3"/>
      <c r="AQ116" s="3"/>
      <c r="AR116" s="3"/>
      <c r="AS116" s="3"/>
      <c r="AT116" s="3"/>
      <c r="AU116" s="3"/>
      <c r="AV116" s="3"/>
    </row>
    <row r="117" spans="1:48" ht="15.4" x14ac:dyDescent="0.35">
      <c r="A117" s="9"/>
      <c r="B117" s="3"/>
      <c r="C117" s="10"/>
      <c r="D117" s="10"/>
      <c r="E117" s="10"/>
      <c r="F117" s="10"/>
      <c r="G117" s="3"/>
      <c r="H117" s="9"/>
      <c r="I117" s="9"/>
      <c r="J117" s="9"/>
      <c r="K117" s="10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3"/>
      <c r="AM117" s="3"/>
      <c r="AN117" s="10"/>
      <c r="AO117" s="3"/>
      <c r="AP117" s="3"/>
      <c r="AQ117" s="3"/>
      <c r="AR117" s="3"/>
      <c r="AS117" s="3"/>
      <c r="AT117" s="3"/>
      <c r="AU117" s="3"/>
      <c r="AV117" s="3"/>
    </row>
    <row r="118" spans="1:48" ht="15.4" x14ac:dyDescent="0.35">
      <c r="A118" s="9"/>
      <c r="B118" s="3"/>
      <c r="C118" s="10"/>
      <c r="D118" s="10"/>
      <c r="E118" s="10"/>
      <c r="F118" s="10"/>
      <c r="G118" s="3"/>
      <c r="H118" s="9"/>
      <c r="I118" s="9"/>
      <c r="J118" s="9"/>
      <c r="K118" s="10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3"/>
      <c r="AM118" s="3"/>
      <c r="AN118" s="10"/>
      <c r="AO118" s="3"/>
      <c r="AP118" s="3"/>
      <c r="AQ118" s="3"/>
      <c r="AR118" s="3"/>
      <c r="AS118" s="3"/>
      <c r="AT118" s="3"/>
      <c r="AU118" s="3"/>
      <c r="AV118" s="3"/>
    </row>
    <row r="119" spans="1:48" ht="15.4" x14ac:dyDescent="0.35">
      <c r="A119" s="9"/>
      <c r="B119" s="3"/>
      <c r="C119" s="10"/>
      <c r="D119" s="10"/>
      <c r="E119" s="10"/>
      <c r="F119" s="10"/>
      <c r="G119" s="3"/>
      <c r="H119" s="9"/>
      <c r="I119" s="9"/>
      <c r="J119" s="9"/>
      <c r="K119" s="10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3"/>
      <c r="AM119" s="3"/>
      <c r="AN119" s="10"/>
      <c r="AO119" s="3"/>
      <c r="AP119" s="3"/>
      <c r="AQ119" s="3"/>
      <c r="AR119" s="3"/>
      <c r="AS119" s="3"/>
      <c r="AT119" s="3"/>
      <c r="AU119" s="3"/>
      <c r="AV119" s="3"/>
    </row>
    <row r="120" spans="1:48" ht="15.4" x14ac:dyDescent="0.35">
      <c r="A120" s="9"/>
      <c r="B120" s="3"/>
      <c r="C120" s="10"/>
      <c r="D120" s="10"/>
      <c r="E120" s="10"/>
      <c r="F120" s="10"/>
      <c r="G120" s="3"/>
      <c r="H120" s="9"/>
      <c r="I120" s="9"/>
      <c r="J120" s="9"/>
      <c r="K120" s="10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3"/>
      <c r="AM120" s="3"/>
      <c r="AN120" s="10"/>
      <c r="AO120" s="3"/>
      <c r="AP120" s="3"/>
      <c r="AQ120" s="3"/>
      <c r="AR120" s="3"/>
      <c r="AS120" s="3"/>
      <c r="AT120" s="3"/>
      <c r="AU120" s="3"/>
      <c r="AV120" s="3"/>
    </row>
    <row r="121" spans="1:48" ht="15.4" x14ac:dyDescent="0.35">
      <c r="A121" s="9"/>
      <c r="B121" s="3"/>
      <c r="C121" s="10"/>
      <c r="D121" s="10"/>
      <c r="E121" s="10"/>
      <c r="F121" s="10"/>
      <c r="G121" s="3"/>
      <c r="H121" s="9"/>
      <c r="I121" s="9"/>
      <c r="J121" s="9"/>
      <c r="K121" s="10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3"/>
      <c r="AM121" s="3"/>
      <c r="AN121" s="10"/>
      <c r="AO121" s="3"/>
      <c r="AP121" s="3"/>
      <c r="AQ121" s="3"/>
      <c r="AR121" s="3"/>
      <c r="AS121" s="3"/>
      <c r="AT121" s="3"/>
      <c r="AU121" s="3"/>
      <c r="AV121" s="3"/>
    </row>
    <row r="122" spans="1:48" ht="15.4" x14ac:dyDescent="0.35">
      <c r="A122" s="9"/>
      <c r="B122" s="3"/>
      <c r="C122" s="10"/>
      <c r="D122" s="10"/>
      <c r="E122" s="10"/>
      <c r="F122" s="10"/>
      <c r="G122" s="3"/>
      <c r="H122" s="9"/>
      <c r="I122" s="9"/>
      <c r="J122" s="9"/>
      <c r="K122" s="10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3"/>
      <c r="AM122" s="3"/>
      <c r="AN122" s="10"/>
      <c r="AO122" s="3"/>
      <c r="AP122" s="3"/>
      <c r="AQ122" s="3"/>
      <c r="AR122" s="3"/>
      <c r="AS122" s="3"/>
      <c r="AT122" s="3"/>
      <c r="AU122" s="3"/>
      <c r="AV122" s="3"/>
    </row>
    <row r="123" spans="1:48" ht="15.4" x14ac:dyDescent="0.35">
      <c r="A123" s="9"/>
      <c r="B123" s="3"/>
      <c r="C123" s="10"/>
      <c r="D123" s="10"/>
      <c r="E123" s="10"/>
      <c r="F123" s="10"/>
      <c r="G123" s="3"/>
      <c r="H123" s="9"/>
      <c r="I123" s="9"/>
      <c r="J123" s="9"/>
      <c r="K123" s="10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3"/>
      <c r="AM123" s="3"/>
      <c r="AN123" s="10"/>
      <c r="AO123" s="3"/>
      <c r="AP123" s="3"/>
      <c r="AQ123" s="3"/>
      <c r="AR123" s="3"/>
      <c r="AS123" s="3"/>
      <c r="AT123" s="3"/>
      <c r="AU123" s="3"/>
      <c r="AV123" s="3"/>
    </row>
    <row r="124" spans="1:48" ht="15.4" x14ac:dyDescent="0.35">
      <c r="A124" s="9"/>
      <c r="B124" s="3"/>
      <c r="C124" s="10"/>
      <c r="D124" s="10"/>
      <c r="E124" s="10"/>
      <c r="F124" s="10"/>
      <c r="G124" s="3"/>
      <c r="H124" s="9"/>
      <c r="I124" s="9"/>
      <c r="J124" s="9"/>
      <c r="K124" s="10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3"/>
      <c r="AM124" s="3"/>
      <c r="AN124" s="10"/>
      <c r="AO124" s="3"/>
      <c r="AP124" s="3"/>
      <c r="AQ124" s="3"/>
      <c r="AR124" s="3"/>
      <c r="AS124" s="3"/>
      <c r="AT124" s="3"/>
      <c r="AU124" s="3"/>
      <c r="AV124" s="3"/>
    </row>
    <row r="125" spans="1:48" ht="15.4" x14ac:dyDescent="0.35">
      <c r="A125" s="9"/>
      <c r="B125" s="3"/>
      <c r="C125" s="10"/>
      <c r="D125" s="10"/>
      <c r="E125" s="10"/>
      <c r="F125" s="10"/>
      <c r="G125" s="3"/>
      <c r="H125" s="9"/>
      <c r="I125" s="9"/>
      <c r="J125" s="9"/>
      <c r="K125" s="10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3"/>
      <c r="AM125" s="3"/>
      <c r="AN125" s="10"/>
      <c r="AO125" s="3"/>
      <c r="AP125" s="3"/>
      <c r="AQ125" s="3"/>
      <c r="AR125" s="3"/>
      <c r="AS125" s="3"/>
      <c r="AT125" s="3"/>
      <c r="AU125" s="3"/>
      <c r="AV125" s="3"/>
    </row>
    <row r="126" spans="1:48" ht="15.4" x14ac:dyDescent="0.35">
      <c r="A126" s="9"/>
      <c r="B126" s="3"/>
      <c r="C126" s="10"/>
      <c r="D126" s="10"/>
      <c r="E126" s="10"/>
      <c r="F126" s="10"/>
      <c r="G126" s="3"/>
      <c r="H126" s="9"/>
      <c r="I126" s="9"/>
      <c r="J126" s="9"/>
      <c r="K126" s="10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3"/>
      <c r="AM126" s="3"/>
      <c r="AN126" s="10"/>
      <c r="AO126" s="3"/>
      <c r="AP126" s="3"/>
      <c r="AQ126" s="3"/>
      <c r="AR126" s="3"/>
      <c r="AS126" s="3"/>
      <c r="AT126" s="3"/>
      <c r="AU126" s="3"/>
      <c r="AV126" s="3"/>
    </row>
    <row r="127" spans="1:48" ht="15.4" x14ac:dyDescent="0.35">
      <c r="A127" s="9"/>
      <c r="B127" s="3"/>
      <c r="C127" s="10"/>
      <c r="D127" s="10"/>
      <c r="E127" s="10"/>
      <c r="F127" s="10"/>
      <c r="G127" s="3"/>
      <c r="H127" s="9"/>
      <c r="I127" s="9"/>
      <c r="J127" s="9"/>
      <c r="K127" s="10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3"/>
      <c r="AM127" s="3"/>
      <c r="AN127" s="10"/>
      <c r="AO127" s="3"/>
      <c r="AP127" s="3"/>
      <c r="AQ127" s="3"/>
      <c r="AR127" s="3"/>
      <c r="AS127" s="3"/>
      <c r="AT127" s="3"/>
      <c r="AU127" s="3"/>
      <c r="AV127" s="3"/>
    </row>
    <row r="128" spans="1:48" ht="15.4" x14ac:dyDescent="0.35">
      <c r="A128" s="9"/>
      <c r="B128" s="3"/>
      <c r="C128" s="10"/>
      <c r="D128" s="10"/>
      <c r="E128" s="10"/>
      <c r="F128" s="10"/>
      <c r="G128" s="3"/>
      <c r="H128" s="9"/>
      <c r="I128" s="9"/>
      <c r="J128" s="9"/>
      <c r="K128" s="10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3"/>
      <c r="AM128" s="3"/>
      <c r="AN128" s="10"/>
      <c r="AO128" s="3"/>
      <c r="AP128" s="3"/>
      <c r="AQ128" s="3"/>
      <c r="AR128" s="3"/>
      <c r="AS128" s="3"/>
      <c r="AT128" s="3"/>
      <c r="AU128" s="3"/>
      <c r="AV128" s="3"/>
    </row>
    <row r="129" spans="1:48" ht="15.4" x14ac:dyDescent="0.35">
      <c r="A129" s="9"/>
      <c r="B129" s="3"/>
      <c r="C129" s="10"/>
      <c r="D129" s="10"/>
      <c r="E129" s="10"/>
      <c r="F129" s="10"/>
      <c r="G129" s="3"/>
      <c r="H129" s="9"/>
      <c r="I129" s="9"/>
      <c r="J129" s="9"/>
      <c r="K129" s="10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3"/>
      <c r="AM129" s="3"/>
      <c r="AN129" s="10"/>
      <c r="AO129" s="3"/>
      <c r="AP129" s="3"/>
      <c r="AQ129" s="3"/>
      <c r="AR129" s="3"/>
      <c r="AS129" s="3"/>
      <c r="AT129" s="3"/>
      <c r="AU129" s="3"/>
      <c r="AV129" s="3"/>
    </row>
    <row r="130" spans="1:48" ht="15.4" x14ac:dyDescent="0.35">
      <c r="A130" s="9"/>
      <c r="B130" s="3"/>
      <c r="C130" s="10"/>
      <c r="D130" s="10"/>
      <c r="E130" s="10"/>
      <c r="F130" s="10"/>
      <c r="G130" s="3"/>
      <c r="H130" s="9"/>
      <c r="I130" s="9"/>
      <c r="J130" s="9"/>
      <c r="K130" s="10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3"/>
      <c r="AM130" s="3"/>
      <c r="AN130" s="10"/>
      <c r="AO130" s="3"/>
      <c r="AP130" s="3"/>
      <c r="AQ130" s="3"/>
      <c r="AR130" s="3"/>
      <c r="AS130" s="3"/>
      <c r="AT130" s="3"/>
      <c r="AU130" s="3"/>
      <c r="AV130" s="3"/>
    </row>
    <row r="131" spans="1:48" ht="15.4" x14ac:dyDescent="0.35">
      <c r="A131" s="9"/>
      <c r="B131" s="3"/>
      <c r="C131" s="10"/>
      <c r="D131" s="10"/>
      <c r="E131" s="10"/>
      <c r="F131" s="10"/>
      <c r="G131" s="3"/>
      <c r="H131" s="9"/>
      <c r="I131" s="9"/>
      <c r="J131" s="9"/>
      <c r="K131" s="10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3"/>
      <c r="AM131" s="3"/>
      <c r="AN131" s="10"/>
      <c r="AO131" s="3"/>
      <c r="AP131" s="3"/>
      <c r="AQ131" s="3"/>
      <c r="AR131" s="3"/>
      <c r="AS131" s="3"/>
      <c r="AT131" s="3"/>
      <c r="AU131" s="3"/>
      <c r="AV131" s="3"/>
    </row>
    <row r="132" spans="1:48" ht="15.4" x14ac:dyDescent="0.35">
      <c r="A132" s="9"/>
      <c r="B132" s="3"/>
      <c r="C132" s="10"/>
      <c r="D132" s="10"/>
      <c r="E132" s="10"/>
      <c r="F132" s="10"/>
      <c r="G132" s="3"/>
      <c r="H132" s="9"/>
      <c r="I132" s="9"/>
      <c r="J132" s="9"/>
      <c r="K132" s="10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3"/>
      <c r="AM132" s="3"/>
      <c r="AN132" s="10"/>
      <c r="AO132" s="3"/>
      <c r="AP132" s="3"/>
      <c r="AQ132" s="3"/>
      <c r="AR132" s="3"/>
      <c r="AS132" s="3"/>
      <c r="AT132" s="3"/>
      <c r="AU132" s="3"/>
      <c r="AV132" s="3"/>
    </row>
    <row r="133" spans="1:48" ht="15.4" x14ac:dyDescent="0.35">
      <c r="A133" s="9"/>
      <c r="B133" s="3"/>
      <c r="C133" s="10"/>
      <c r="D133" s="10"/>
      <c r="E133" s="10"/>
      <c r="F133" s="10"/>
      <c r="G133" s="3"/>
      <c r="H133" s="9"/>
      <c r="I133" s="9"/>
      <c r="J133" s="9"/>
      <c r="K133" s="10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3"/>
      <c r="AM133" s="3"/>
      <c r="AN133" s="10"/>
      <c r="AO133" s="3"/>
      <c r="AP133" s="3"/>
      <c r="AQ133" s="3"/>
      <c r="AR133" s="3"/>
      <c r="AS133" s="3"/>
      <c r="AT133" s="3"/>
      <c r="AU133" s="3"/>
      <c r="AV133" s="3"/>
    </row>
    <row r="134" spans="1:48" ht="15.4" x14ac:dyDescent="0.35">
      <c r="A134" s="9"/>
      <c r="B134" s="3"/>
      <c r="C134" s="10"/>
      <c r="D134" s="10"/>
      <c r="E134" s="10"/>
      <c r="F134" s="10"/>
      <c r="G134" s="3"/>
      <c r="H134" s="9"/>
      <c r="I134" s="9"/>
      <c r="J134" s="9"/>
      <c r="K134" s="10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3"/>
      <c r="AM134" s="3"/>
      <c r="AN134" s="10"/>
      <c r="AO134" s="3"/>
      <c r="AP134" s="3"/>
      <c r="AQ134" s="3"/>
      <c r="AR134" s="3"/>
      <c r="AS134" s="3"/>
      <c r="AT134" s="3"/>
      <c r="AU134" s="3"/>
      <c r="AV134" s="3"/>
    </row>
    <row r="135" spans="1:48" ht="15.4" x14ac:dyDescent="0.35">
      <c r="A135" s="9"/>
      <c r="B135" s="3"/>
      <c r="C135" s="10"/>
      <c r="D135" s="10"/>
      <c r="E135" s="10"/>
      <c r="F135" s="10"/>
      <c r="G135" s="3"/>
      <c r="H135" s="9"/>
      <c r="I135" s="9"/>
      <c r="J135" s="9"/>
      <c r="K135" s="10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3"/>
      <c r="AM135" s="3"/>
      <c r="AN135" s="10"/>
      <c r="AO135" s="3"/>
      <c r="AP135" s="3"/>
      <c r="AQ135" s="3"/>
      <c r="AR135" s="3"/>
      <c r="AS135" s="3"/>
      <c r="AT135" s="3"/>
      <c r="AU135" s="3"/>
      <c r="AV135" s="3"/>
    </row>
    <row r="136" spans="1:48" ht="15.4" x14ac:dyDescent="0.35">
      <c r="A136" s="9"/>
      <c r="B136" s="3"/>
      <c r="C136" s="10"/>
      <c r="D136" s="10"/>
      <c r="E136" s="10"/>
      <c r="F136" s="10"/>
      <c r="G136" s="3"/>
      <c r="H136" s="9"/>
      <c r="I136" s="9"/>
      <c r="J136" s="9"/>
      <c r="K136" s="10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3"/>
      <c r="AM136" s="3"/>
      <c r="AN136" s="10"/>
      <c r="AO136" s="3"/>
      <c r="AP136" s="3"/>
      <c r="AQ136" s="3"/>
      <c r="AR136" s="3"/>
      <c r="AS136" s="3"/>
      <c r="AT136" s="3"/>
      <c r="AU136" s="3"/>
      <c r="AV136" s="3"/>
    </row>
    <row r="137" spans="1:48" ht="15.4" x14ac:dyDescent="0.35">
      <c r="A137" s="9"/>
      <c r="B137" s="3"/>
      <c r="C137" s="10"/>
      <c r="D137" s="10"/>
      <c r="E137" s="10"/>
      <c r="F137" s="10"/>
      <c r="G137" s="3"/>
      <c r="H137" s="9"/>
      <c r="I137" s="9"/>
      <c r="J137" s="9"/>
      <c r="K137" s="10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3"/>
      <c r="AM137" s="3"/>
      <c r="AN137" s="10"/>
      <c r="AO137" s="3"/>
      <c r="AP137" s="3"/>
      <c r="AQ137" s="3"/>
      <c r="AR137" s="3"/>
      <c r="AS137" s="3"/>
      <c r="AT137" s="3"/>
      <c r="AU137" s="3"/>
      <c r="AV137" s="3"/>
    </row>
    <row r="138" spans="1:48" ht="15.4" x14ac:dyDescent="0.35">
      <c r="A138" s="9"/>
      <c r="B138" s="3"/>
      <c r="C138" s="10"/>
      <c r="D138" s="10"/>
      <c r="E138" s="10"/>
      <c r="F138" s="10"/>
      <c r="G138" s="3"/>
      <c r="H138" s="9"/>
      <c r="I138" s="9"/>
      <c r="J138" s="9"/>
      <c r="K138" s="10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3"/>
      <c r="AM138" s="3"/>
      <c r="AN138" s="10"/>
      <c r="AO138" s="3"/>
      <c r="AP138" s="3"/>
      <c r="AQ138" s="3"/>
      <c r="AR138" s="3"/>
      <c r="AS138" s="3"/>
      <c r="AT138" s="3"/>
      <c r="AU138" s="3"/>
      <c r="AV138" s="3"/>
    </row>
    <row r="139" spans="1:48" ht="15.4" x14ac:dyDescent="0.35">
      <c r="A139" s="9"/>
      <c r="B139" s="3"/>
      <c r="C139" s="10"/>
      <c r="D139" s="10"/>
      <c r="E139" s="10"/>
      <c r="F139" s="10"/>
      <c r="G139" s="3"/>
      <c r="H139" s="9"/>
      <c r="I139" s="9"/>
      <c r="J139" s="9"/>
      <c r="K139" s="10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3"/>
      <c r="AM139" s="3"/>
      <c r="AN139" s="10"/>
      <c r="AO139" s="3"/>
      <c r="AP139" s="3"/>
      <c r="AQ139" s="3"/>
      <c r="AR139" s="3"/>
      <c r="AS139" s="3"/>
      <c r="AT139" s="3"/>
      <c r="AU139" s="3"/>
      <c r="AV139" s="3"/>
    </row>
    <row r="140" spans="1:48" ht="15.4" x14ac:dyDescent="0.35">
      <c r="A140" s="9"/>
      <c r="B140" s="3"/>
      <c r="C140" s="10"/>
      <c r="D140" s="10"/>
      <c r="E140" s="10"/>
      <c r="F140" s="10"/>
      <c r="G140" s="3"/>
      <c r="H140" s="9"/>
      <c r="I140" s="9"/>
      <c r="J140" s="9"/>
      <c r="K140" s="10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3"/>
      <c r="AM140" s="3"/>
      <c r="AN140" s="10"/>
      <c r="AO140" s="3"/>
      <c r="AP140" s="3"/>
      <c r="AQ140" s="3"/>
      <c r="AR140" s="3"/>
      <c r="AS140" s="3"/>
      <c r="AT140" s="3"/>
      <c r="AU140" s="3"/>
      <c r="AV140" s="3"/>
    </row>
    <row r="141" spans="1:48" ht="15.4" x14ac:dyDescent="0.35">
      <c r="A141" s="9"/>
      <c r="B141" s="3"/>
      <c r="C141" s="10"/>
      <c r="D141" s="10"/>
      <c r="E141" s="10"/>
      <c r="F141" s="10"/>
      <c r="G141" s="3"/>
      <c r="H141" s="9"/>
      <c r="I141" s="9"/>
      <c r="J141" s="9"/>
      <c r="K141" s="10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3"/>
      <c r="AM141" s="3"/>
      <c r="AN141" s="10"/>
      <c r="AO141" s="3"/>
      <c r="AP141" s="3"/>
      <c r="AQ141" s="3"/>
      <c r="AR141" s="3"/>
      <c r="AS141" s="3"/>
      <c r="AT141" s="3"/>
      <c r="AU141" s="3"/>
      <c r="AV141" s="3"/>
    </row>
    <row r="142" spans="1:48" ht="15.4" x14ac:dyDescent="0.35">
      <c r="A142" s="9"/>
      <c r="B142" s="3"/>
      <c r="C142" s="10"/>
      <c r="D142" s="10"/>
      <c r="E142" s="10"/>
      <c r="F142" s="10"/>
      <c r="G142" s="3"/>
      <c r="H142" s="9"/>
      <c r="I142" s="9"/>
      <c r="J142" s="9"/>
      <c r="K142" s="10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3"/>
      <c r="AM142" s="3"/>
      <c r="AN142" s="10"/>
      <c r="AO142" s="3"/>
      <c r="AP142" s="3"/>
      <c r="AQ142" s="3"/>
      <c r="AR142" s="3"/>
      <c r="AS142" s="3"/>
      <c r="AT142" s="3"/>
      <c r="AU142" s="3"/>
      <c r="AV142" s="3"/>
    </row>
    <row r="143" spans="1:48" ht="15.4" x14ac:dyDescent="0.35">
      <c r="A143" s="9"/>
      <c r="B143" s="3"/>
      <c r="C143" s="10"/>
      <c r="D143" s="10"/>
      <c r="E143" s="10"/>
      <c r="F143" s="10"/>
      <c r="G143" s="3"/>
      <c r="H143" s="9"/>
      <c r="I143" s="9"/>
      <c r="J143" s="9"/>
      <c r="K143" s="10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3"/>
      <c r="AM143" s="3"/>
      <c r="AN143" s="10"/>
      <c r="AO143" s="3"/>
      <c r="AP143" s="3"/>
      <c r="AQ143" s="3"/>
      <c r="AR143" s="3"/>
      <c r="AS143" s="3"/>
      <c r="AT143" s="3"/>
      <c r="AU143" s="3"/>
      <c r="AV143" s="3"/>
    </row>
    <row r="144" spans="1:48" ht="15.4" x14ac:dyDescent="0.35">
      <c r="A144" s="9"/>
      <c r="B144" s="3"/>
      <c r="C144" s="10"/>
      <c r="D144" s="10"/>
      <c r="E144" s="10"/>
      <c r="F144" s="10"/>
      <c r="G144" s="3"/>
      <c r="H144" s="9"/>
      <c r="I144" s="9"/>
      <c r="J144" s="9"/>
      <c r="K144" s="10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3"/>
      <c r="AM144" s="3"/>
      <c r="AN144" s="10"/>
      <c r="AO144" s="3"/>
      <c r="AP144" s="3"/>
      <c r="AQ144" s="3"/>
      <c r="AR144" s="3"/>
      <c r="AS144" s="3"/>
      <c r="AT144" s="3"/>
      <c r="AU144" s="3"/>
      <c r="AV144" s="3"/>
    </row>
    <row r="145" spans="1:48" ht="15.4" x14ac:dyDescent="0.35">
      <c r="A145" s="9"/>
      <c r="B145" s="3"/>
      <c r="C145" s="10"/>
      <c r="D145" s="10"/>
      <c r="E145" s="10"/>
      <c r="F145" s="10"/>
      <c r="G145" s="3"/>
      <c r="H145" s="9"/>
      <c r="I145" s="9"/>
      <c r="J145" s="9"/>
      <c r="K145" s="10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3"/>
      <c r="AM145" s="3"/>
      <c r="AN145" s="10"/>
      <c r="AO145" s="3"/>
      <c r="AP145" s="3"/>
      <c r="AQ145" s="3"/>
      <c r="AR145" s="3"/>
      <c r="AS145" s="3"/>
      <c r="AT145" s="3"/>
      <c r="AU145" s="3"/>
      <c r="AV145" s="3"/>
    </row>
    <row r="146" spans="1:48" ht="15.4" x14ac:dyDescent="0.35">
      <c r="A146" s="9"/>
      <c r="B146" s="3"/>
      <c r="C146" s="10"/>
      <c r="D146" s="10"/>
      <c r="E146" s="10"/>
      <c r="F146" s="10"/>
      <c r="G146" s="3"/>
      <c r="H146" s="9"/>
      <c r="I146" s="9"/>
      <c r="J146" s="9"/>
      <c r="K146" s="10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3"/>
      <c r="AM146" s="3"/>
      <c r="AN146" s="10"/>
      <c r="AO146" s="3"/>
      <c r="AP146" s="3"/>
      <c r="AQ146" s="3"/>
      <c r="AR146" s="3"/>
      <c r="AS146" s="3"/>
      <c r="AT146" s="3"/>
      <c r="AU146" s="3"/>
      <c r="AV146" s="3"/>
    </row>
    <row r="147" spans="1:48" ht="15.4" x14ac:dyDescent="0.35">
      <c r="A147" s="9"/>
      <c r="B147" s="3"/>
      <c r="C147" s="10"/>
      <c r="D147" s="10"/>
      <c r="E147" s="10"/>
      <c r="F147" s="10"/>
      <c r="G147" s="3"/>
      <c r="H147" s="9"/>
      <c r="I147" s="9"/>
      <c r="J147" s="9"/>
      <c r="K147" s="10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3"/>
      <c r="AM147" s="3"/>
      <c r="AN147" s="10"/>
      <c r="AO147" s="3"/>
      <c r="AP147" s="3"/>
      <c r="AQ147" s="3"/>
      <c r="AR147" s="3"/>
      <c r="AS147" s="3"/>
      <c r="AT147" s="3"/>
      <c r="AU147" s="3"/>
      <c r="AV147" s="3"/>
    </row>
    <row r="148" spans="1:48" ht="15.4" x14ac:dyDescent="0.35">
      <c r="A148" s="9"/>
      <c r="B148" s="3"/>
      <c r="C148" s="10"/>
      <c r="D148" s="10"/>
      <c r="E148" s="10"/>
      <c r="F148" s="10"/>
      <c r="G148" s="3"/>
      <c r="H148" s="9"/>
      <c r="I148" s="9"/>
      <c r="J148" s="9"/>
      <c r="K148" s="10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3"/>
      <c r="AM148" s="3"/>
      <c r="AN148" s="10"/>
      <c r="AO148" s="3"/>
      <c r="AP148" s="3"/>
      <c r="AQ148" s="3"/>
      <c r="AR148" s="3"/>
      <c r="AS148" s="3"/>
      <c r="AT148" s="3"/>
      <c r="AU148" s="3"/>
      <c r="AV148" s="3"/>
    </row>
    <row r="149" spans="1:48" ht="15.4" x14ac:dyDescent="0.35">
      <c r="A149" s="9"/>
      <c r="B149" s="3"/>
      <c r="C149" s="10"/>
      <c r="D149" s="10"/>
      <c r="E149" s="10"/>
      <c r="F149" s="10"/>
      <c r="G149" s="3"/>
      <c r="H149" s="9"/>
      <c r="I149" s="9"/>
      <c r="J149" s="9"/>
      <c r="K149" s="10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3"/>
      <c r="AM149" s="3"/>
      <c r="AN149" s="10"/>
      <c r="AO149" s="3"/>
      <c r="AP149" s="3"/>
      <c r="AQ149" s="3"/>
      <c r="AR149" s="3"/>
      <c r="AS149" s="3"/>
      <c r="AT149" s="3"/>
      <c r="AU149" s="3"/>
      <c r="AV149" s="3"/>
    </row>
    <row r="150" spans="1:48" ht="15.4" x14ac:dyDescent="0.35">
      <c r="A150" s="9"/>
      <c r="B150" s="3"/>
      <c r="C150" s="10"/>
      <c r="D150" s="10"/>
      <c r="E150" s="10"/>
      <c r="F150" s="10"/>
      <c r="G150" s="3"/>
      <c r="H150" s="9"/>
      <c r="I150" s="9"/>
      <c r="J150" s="9"/>
      <c r="K150" s="10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3"/>
      <c r="AM150" s="3"/>
      <c r="AN150" s="10"/>
      <c r="AO150" s="3"/>
      <c r="AP150" s="3"/>
      <c r="AQ150" s="3"/>
      <c r="AR150" s="3"/>
      <c r="AS150" s="3"/>
      <c r="AT150" s="3"/>
      <c r="AU150" s="3"/>
      <c r="AV150" s="3"/>
    </row>
    <row r="151" spans="1:48" ht="15.4" x14ac:dyDescent="0.35">
      <c r="A151" s="9"/>
      <c r="B151" s="3"/>
      <c r="C151" s="10"/>
      <c r="D151" s="10"/>
      <c r="E151" s="10"/>
      <c r="F151" s="10"/>
      <c r="G151" s="3"/>
      <c r="H151" s="9"/>
      <c r="I151" s="9"/>
      <c r="J151" s="9"/>
      <c r="K151" s="10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3"/>
      <c r="AM151" s="3"/>
      <c r="AN151" s="10"/>
      <c r="AO151" s="3"/>
      <c r="AP151" s="3"/>
      <c r="AQ151" s="3"/>
      <c r="AR151" s="3"/>
      <c r="AS151" s="3"/>
      <c r="AT151" s="3"/>
      <c r="AU151" s="3"/>
      <c r="AV151" s="3"/>
    </row>
    <row r="152" spans="1:48" ht="15.4" x14ac:dyDescent="0.35">
      <c r="A152" s="9"/>
      <c r="B152" s="3"/>
      <c r="C152" s="10"/>
      <c r="D152" s="10"/>
      <c r="E152" s="10"/>
      <c r="F152" s="10"/>
      <c r="G152" s="3"/>
      <c r="H152" s="9"/>
      <c r="I152" s="9"/>
      <c r="J152" s="9"/>
      <c r="K152" s="10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3"/>
      <c r="AM152" s="3"/>
      <c r="AN152" s="10"/>
      <c r="AO152" s="3"/>
      <c r="AP152" s="3"/>
      <c r="AQ152" s="3"/>
      <c r="AR152" s="3"/>
      <c r="AS152" s="3"/>
      <c r="AT152" s="3"/>
      <c r="AU152" s="3"/>
      <c r="AV152" s="3"/>
    </row>
    <row r="153" spans="1:48" ht="15.4" x14ac:dyDescent="0.35">
      <c r="A153" s="9"/>
      <c r="B153" s="3"/>
      <c r="C153" s="10"/>
      <c r="D153" s="10"/>
      <c r="E153" s="10"/>
      <c r="F153" s="10"/>
      <c r="G153" s="3"/>
      <c r="H153" s="9"/>
      <c r="I153" s="9"/>
      <c r="J153" s="9"/>
      <c r="K153" s="10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3"/>
      <c r="AM153" s="3"/>
      <c r="AN153" s="10"/>
      <c r="AO153" s="3"/>
      <c r="AP153" s="3"/>
      <c r="AQ153" s="3"/>
      <c r="AR153" s="3"/>
      <c r="AS153" s="3"/>
      <c r="AT153" s="3"/>
      <c r="AU153" s="3"/>
      <c r="AV153" s="3"/>
    </row>
    <row r="154" spans="1:48" ht="15.4" x14ac:dyDescent="0.35">
      <c r="A154" s="9"/>
      <c r="B154" s="3"/>
      <c r="C154" s="10"/>
      <c r="D154" s="10"/>
      <c r="E154" s="10"/>
      <c r="F154" s="10"/>
      <c r="G154" s="3"/>
      <c r="H154" s="9"/>
      <c r="I154" s="9"/>
      <c r="J154" s="9"/>
      <c r="K154" s="10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3"/>
      <c r="AM154" s="3"/>
      <c r="AN154" s="10"/>
      <c r="AO154" s="3"/>
      <c r="AP154" s="3"/>
      <c r="AQ154" s="3"/>
      <c r="AR154" s="3"/>
      <c r="AS154" s="3"/>
      <c r="AT154" s="3"/>
      <c r="AU154" s="3"/>
      <c r="AV154" s="3"/>
    </row>
    <row r="155" spans="1:48" ht="15.4" x14ac:dyDescent="0.35">
      <c r="A155" s="9"/>
      <c r="B155" s="3"/>
      <c r="C155" s="10"/>
      <c r="D155" s="10"/>
      <c r="E155" s="10"/>
      <c r="F155" s="10"/>
      <c r="G155" s="3"/>
      <c r="H155" s="9"/>
      <c r="I155" s="9"/>
      <c r="J155" s="9"/>
      <c r="K155" s="10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3"/>
      <c r="AM155" s="3"/>
      <c r="AN155" s="10"/>
      <c r="AO155" s="3"/>
      <c r="AP155" s="3"/>
      <c r="AQ155" s="3"/>
      <c r="AR155" s="3"/>
      <c r="AS155" s="3"/>
      <c r="AT155" s="3"/>
      <c r="AU155" s="3"/>
      <c r="AV155" s="3"/>
    </row>
    <row r="156" spans="1:48" ht="15.4" x14ac:dyDescent="0.35">
      <c r="A156" s="9"/>
      <c r="B156" s="3"/>
      <c r="C156" s="10"/>
      <c r="D156" s="10"/>
      <c r="E156" s="10"/>
      <c r="F156" s="10"/>
      <c r="G156" s="3"/>
      <c r="H156" s="9"/>
      <c r="I156" s="9"/>
      <c r="J156" s="9"/>
      <c r="K156" s="10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3"/>
      <c r="AM156" s="3"/>
      <c r="AN156" s="10"/>
      <c r="AO156" s="3"/>
      <c r="AP156" s="3"/>
      <c r="AQ156" s="3"/>
      <c r="AR156" s="3"/>
      <c r="AS156" s="3"/>
      <c r="AT156" s="3"/>
      <c r="AU156" s="3"/>
      <c r="AV156" s="3"/>
    </row>
    <row r="157" spans="1:48" ht="15.4" x14ac:dyDescent="0.35">
      <c r="A157" s="9"/>
      <c r="B157" s="3"/>
      <c r="C157" s="10"/>
      <c r="D157" s="10"/>
      <c r="E157" s="10"/>
      <c r="F157" s="10"/>
      <c r="G157" s="3"/>
      <c r="H157" s="9"/>
      <c r="I157" s="9"/>
      <c r="J157" s="9"/>
      <c r="K157" s="10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3"/>
      <c r="AM157" s="3"/>
      <c r="AN157" s="10"/>
      <c r="AO157" s="3"/>
      <c r="AP157" s="3"/>
      <c r="AQ157" s="3"/>
      <c r="AR157" s="3"/>
      <c r="AS157" s="3"/>
      <c r="AT157" s="3"/>
      <c r="AU157" s="3"/>
      <c r="AV157" s="3"/>
    </row>
    <row r="158" spans="1:48" ht="15.4" x14ac:dyDescent="0.35">
      <c r="A158" s="9"/>
      <c r="B158" s="3"/>
      <c r="C158" s="10"/>
      <c r="D158" s="10"/>
      <c r="E158" s="10"/>
      <c r="F158" s="10"/>
      <c r="G158" s="3"/>
      <c r="H158" s="9"/>
      <c r="I158" s="9"/>
      <c r="J158" s="9"/>
      <c r="K158" s="10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3"/>
      <c r="AM158" s="3"/>
      <c r="AN158" s="10"/>
      <c r="AO158" s="3"/>
      <c r="AP158" s="3"/>
      <c r="AQ158" s="3"/>
      <c r="AR158" s="3"/>
      <c r="AS158" s="3"/>
      <c r="AT158" s="3"/>
      <c r="AU158" s="3"/>
      <c r="AV158" s="3"/>
    </row>
    <row r="159" spans="1:48" ht="15.4" x14ac:dyDescent="0.35">
      <c r="A159" s="9"/>
      <c r="B159" s="3"/>
      <c r="C159" s="10"/>
      <c r="D159" s="10"/>
      <c r="E159" s="10"/>
      <c r="F159" s="10"/>
      <c r="G159" s="3"/>
      <c r="H159" s="9"/>
      <c r="I159" s="9"/>
      <c r="J159" s="9"/>
      <c r="K159" s="10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3"/>
      <c r="AM159" s="3"/>
      <c r="AN159" s="10"/>
      <c r="AO159" s="3"/>
      <c r="AP159" s="3"/>
      <c r="AQ159" s="3"/>
      <c r="AR159" s="3"/>
      <c r="AS159" s="3"/>
      <c r="AT159" s="3"/>
      <c r="AU159" s="3"/>
      <c r="AV159" s="3"/>
    </row>
    <row r="160" spans="1:48" ht="15.4" x14ac:dyDescent="0.35">
      <c r="A160" s="9"/>
      <c r="B160" s="3"/>
      <c r="C160" s="10"/>
      <c r="D160" s="10"/>
      <c r="E160" s="10"/>
      <c r="F160" s="10"/>
      <c r="G160" s="3"/>
      <c r="H160" s="9"/>
      <c r="I160" s="9"/>
      <c r="J160" s="9"/>
      <c r="K160" s="10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3"/>
      <c r="AM160" s="3"/>
      <c r="AN160" s="10"/>
      <c r="AO160" s="3"/>
      <c r="AP160" s="3"/>
      <c r="AQ160" s="3"/>
      <c r="AR160" s="3"/>
      <c r="AS160" s="3"/>
      <c r="AT160" s="3"/>
      <c r="AU160" s="3"/>
      <c r="AV160" s="3"/>
    </row>
    <row r="161" spans="1:48" ht="15.4" x14ac:dyDescent="0.35">
      <c r="A161" s="9"/>
      <c r="B161" s="3"/>
      <c r="C161" s="10"/>
      <c r="D161" s="10"/>
      <c r="E161" s="10"/>
      <c r="F161" s="10"/>
      <c r="G161" s="3"/>
      <c r="H161" s="9"/>
      <c r="I161" s="9"/>
      <c r="J161" s="9"/>
      <c r="K161" s="10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3"/>
      <c r="AM161" s="3"/>
      <c r="AN161" s="10"/>
      <c r="AO161" s="3"/>
      <c r="AP161" s="3"/>
      <c r="AQ161" s="3"/>
      <c r="AR161" s="3"/>
      <c r="AS161" s="3"/>
      <c r="AT161" s="3"/>
      <c r="AU161" s="3"/>
      <c r="AV161" s="3"/>
    </row>
    <row r="162" spans="1:48" ht="15.4" x14ac:dyDescent="0.35">
      <c r="A162" s="9"/>
      <c r="B162" s="3"/>
      <c r="C162" s="10"/>
      <c r="D162" s="10"/>
      <c r="E162" s="10"/>
      <c r="F162" s="10"/>
      <c r="G162" s="3"/>
      <c r="H162" s="9"/>
      <c r="I162" s="9"/>
      <c r="J162" s="9"/>
      <c r="K162" s="10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3"/>
      <c r="AM162" s="3"/>
      <c r="AN162" s="10"/>
      <c r="AO162" s="3"/>
      <c r="AP162" s="3"/>
      <c r="AQ162" s="3"/>
      <c r="AR162" s="3"/>
      <c r="AS162" s="3"/>
      <c r="AT162" s="3"/>
      <c r="AU162" s="3"/>
      <c r="AV162" s="3"/>
    </row>
    <row r="163" spans="1:48" ht="15.4" x14ac:dyDescent="0.35">
      <c r="A163" s="9"/>
      <c r="B163" s="3"/>
      <c r="C163" s="10"/>
      <c r="D163" s="10"/>
      <c r="E163" s="10"/>
      <c r="F163" s="10"/>
      <c r="G163" s="3"/>
      <c r="H163" s="9"/>
      <c r="I163" s="9"/>
      <c r="J163" s="9"/>
      <c r="K163" s="10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3"/>
      <c r="AM163" s="3"/>
      <c r="AN163" s="10"/>
      <c r="AO163" s="3"/>
      <c r="AP163" s="3"/>
      <c r="AQ163" s="3"/>
      <c r="AR163" s="3"/>
      <c r="AS163" s="3"/>
      <c r="AT163" s="3"/>
      <c r="AU163" s="3"/>
      <c r="AV163" s="3"/>
    </row>
    <row r="164" spans="1:48" ht="15.4" x14ac:dyDescent="0.35">
      <c r="A164" s="9"/>
      <c r="B164" s="3"/>
      <c r="C164" s="10"/>
      <c r="D164" s="10"/>
      <c r="E164" s="10"/>
      <c r="F164" s="10"/>
      <c r="G164" s="3"/>
      <c r="H164" s="9"/>
      <c r="I164" s="9"/>
      <c r="J164" s="9"/>
      <c r="K164" s="10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3"/>
      <c r="AM164" s="3"/>
      <c r="AN164" s="10"/>
      <c r="AO164" s="3"/>
      <c r="AP164" s="3"/>
      <c r="AQ164" s="3"/>
      <c r="AR164" s="3"/>
      <c r="AS164" s="3"/>
      <c r="AT164" s="3"/>
      <c r="AU164" s="3"/>
      <c r="AV164" s="3"/>
    </row>
    <row r="165" spans="1:48" ht="15.4" x14ac:dyDescent="0.35">
      <c r="A165" s="9"/>
      <c r="B165" s="3"/>
      <c r="C165" s="10"/>
      <c r="D165" s="10"/>
      <c r="E165" s="10"/>
      <c r="F165" s="10"/>
      <c r="G165" s="3"/>
      <c r="H165" s="9"/>
      <c r="I165" s="9"/>
      <c r="J165" s="9"/>
      <c r="K165" s="10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3"/>
      <c r="AM165" s="3"/>
      <c r="AN165" s="10"/>
      <c r="AO165" s="3"/>
      <c r="AP165" s="3"/>
      <c r="AQ165" s="3"/>
      <c r="AR165" s="3"/>
      <c r="AS165" s="3"/>
      <c r="AT165" s="3"/>
      <c r="AU165" s="3"/>
      <c r="AV165" s="3"/>
    </row>
    <row r="166" spans="1:48" ht="15.4" x14ac:dyDescent="0.35">
      <c r="A166" s="9"/>
      <c r="B166" s="3"/>
      <c r="C166" s="10"/>
      <c r="D166" s="10"/>
      <c r="E166" s="10"/>
      <c r="F166" s="10"/>
      <c r="G166" s="3"/>
      <c r="H166" s="9"/>
      <c r="I166" s="9"/>
      <c r="J166" s="9"/>
      <c r="K166" s="10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3"/>
      <c r="AM166" s="3"/>
      <c r="AN166" s="10"/>
      <c r="AO166" s="3"/>
      <c r="AP166" s="3"/>
      <c r="AQ166" s="3"/>
      <c r="AR166" s="3"/>
      <c r="AS166" s="3"/>
      <c r="AT166" s="3"/>
      <c r="AU166" s="3"/>
      <c r="AV166" s="3"/>
    </row>
    <row r="167" spans="1:48" ht="15.4" x14ac:dyDescent="0.35">
      <c r="A167" s="9"/>
      <c r="B167" s="3"/>
      <c r="C167" s="10"/>
      <c r="D167" s="10"/>
      <c r="E167" s="10"/>
      <c r="F167" s="10"/>
      <c r="G167" s="3"/>
      <c r="H167" s="9"/>
      <c r="I167" s="9"/>
      <c r="J167" s="9"/>
      <c r="K167" s="10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3"/>
      <c r="AM167" s="3"/>
      <c r="AN167" s="10"/>
      <c r="AO167" s="3"/>
      <c r="AP167" s="3"/>
      <c r="AQ167" s="3"/>
      <c r="AR167" s="3"/>
      <c r="AS167" s="3"/>
      <c r="AT167" s="3"/>
      <c r="AU167" s="3"/>
      <c r="AV167" s="3"/>
    </row>
    <row r="168" spans="1:48" ht="15.4" x14ac:dyDescent="0.35">
      <c r="A168" s="9"/>
      <c r="B168" s="3"/>
      <c r="C168" s="10"/>
      <c r="D168" s="10"/>
      <c r="E168" s="10"/>
      <c r="F168" s="10"/>
      <c r="G168" s="3"/>
      <c r="H168" s="9"/>
      <c r="I168" s="9"/>
      <c r="J168" s="9"/>
      <c r="K168" s="10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3"/>
      <c r="AM168" s="3"/>
      <c r="AN168" s="10"/>
      <c r="AO168" s="3"/>
      <c r="AP168" s="3"/>
      <c r="AQ168" s="3"/>
      <c r="AR168" s="3"/>
      <c r="AS168" s="3"/>
      <c r="AT168" s="3"/>
      <c r="AU168" s="3"/>
      <c r="AV168" s="3"/>
    </row>
    <row r="169" spans="1:48" ht="15.4" x14ac:dyDescent="0.35">
      <c r="A169" s="9"/>
      <c r="B169" s="3"/>
      <c r="C169" s="10"/>
      <c r="D169" s="10"/>
      <c r="E169" s="10"/>
      <c r="F169" s="10"/>
      <c r="G169" s="3"/>
      <c r="H169" s="9"/>
      <c r="I169" s="9"/>
      <c r="J169" s="9"/>
      <c r="K169" s="10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3"/>
      <c r="AM169" s="3"/>
      <c r="AN169" s="10"/>
      <c r="AO169" s="3"/>
      <c r="AP169" s="3"/>
      <c r="AQ169" s="3"/>
      <c r="AR169" s="3"/>
      <c r="AS169" s="3"/>
      <c r="AT169" s="3"/>
      <c r="AU169" s="3"/>
      <c r="AV169" s="3"/>
    </row>
    <row r="170" spans="1:48" ht="15.4" x14ac:dyDescent="0.35">
      <c r="A170" s="9"/>
      <c r="B170" s="3"/>
      <c r="C170" s="10"/>
      <c r="D170" s="10"/>
      <c r="E170" s="10"/>
      <c r="F170" s="10"/>
      <c r="G170" s="3"/>
      <c r="H170" s="9"/>
      <c r="I170" s="9"/>
      <c r="J170" s="9"/>
      <c r="K170" s="10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3"/>
      <c r="AM170" s="3"/>
      <c r="AN170" s="10"/>
      <c r="AO170" s="3"/>
      <c r="AP170" s="3"/>
      <c r="AQ170" s="3"/>
      <c r="AR170" s="3"/>
      <c r="AS170" s="3"/>
      <c r="AT170" s="3"/>
      <c r="AU170" s="3"/>
      <c r="AV170" s="3"/>
    </row>
    <row r="171" spans="1:48" ht="15.4" x14ac:dyDescent="0.35">
      <c r="A171" s="9"/>
      <c r="B171" s="3"/>
      <c r="C171" s="10"/>
      <c r="D171" s="10"/>
      <c r="E171" s="10"/>
      <c r="F171" s="10"/>
      <c r="G171" s="3"/>
      <c r="H171" s="9"/>
      <c r="I171" s="9"/>
      <c r="J171" s="9"/>
      <c r="K171" s="10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3"/>
      <c r="AM171" s="3"/>
      <c r="AN171" s="10"/>
      <c r="AO171" s="3"/>
      <c r="AP171" s="3"/>
      <c r="AQ171" s="3"/>
      <c r="AR171" s="3"/>
      <c r="AS171" s="3"/>
      <c r="AT171" s="3"/>
      <c r="AU171" s="3"/>
      <c r="AV171" s="3"/>
    </row>
    <row r="172" spans="1:48" ht="15.4" x14ac:dyDescent="0.35">
      <c r="A172" s="9"/>
      <c r="B172" s="3"/>
      <c r="C172" s="10"/>
      <c r="D172" s="10"/>
      <c r="E172" s="10"/>
      <c r="F172" s="10"/>
      <c r="G172" s="3"/>
      <c r="H172" s="9"/>
      <c r="I172" s="9"/>
      <c r="J172" s="9"/>
      <c r="K172" s="10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3"/>
      <c r="AM172" s="3"/>
      <c r="AN172" s="10"/>
      <c r="AO172" s="3"/>
      <c r="AP172" s="3"/>
      <c r="AQ172" s="3"/>
      <c r="AR172" s="3"/>
      <c r="AS172" s="3"/>
      <c r="AT172" s="3"/>
      <c r="AU172" s="3"/>
      <c r="AV172" s="3"/>
    </row>
    <row r="173" spans="1:48" ht="15.4" x14ac:dyDescent="0.35">
      <c r="A173" s="9"/>
      <c r="B173" s="3"/>
      <c r="C173" s="10"/>
      <c r="D173" s="10"/>
      <c r="E173" s="10"/>
      <c r="F173" s="10"/>
      <c r="G173" s="3"/>
      <c r="H173" s="9"/>
      <c r="I173" s="9"/>
      <c r="J173" s="9"/>
      <c r="K173" s="10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3"/>
      <c r="AM173" s="3"/>
      <c r="AN173" s="10"/>
      <c r="AO173" s="3"/>
      <c r="AP173" s="3"/>
      <c r="AQ173" s="3"/>
      <c r="AR173" s="3"/>
      <c r="AS173" s="3"/>
      <c r="AT173" s="3"/>
      <c r="AU173" s="3"/>
      <c r="AV173" s="3"/>
    </row>
    <row r="174" spans="1:48" ht="15.4" x14ac:dyDescent="0.35">
      <c r="A174" s="9"/>
      <c r="B174" s="3"/>
      <c r="C174" s="10"/>
      <c r="D174" s="10"/>
      <c r="E174" s="10"/>
      <c r="F174" s="10"/>
      <c r="G174" s="3"/>
      <c r="H174" s="9"/>
      <c r="I174" s="9"/>
      <c r="J174" s="9"/>
      <c r="K174" s="10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3"/>
      <c r="AM174" s="3"/>
      <c r="AN174" s="10"/>
      <c r="AO174" s="3"/>
      <c r="AP174" s="3"/>
      <c r="AQ174" s="3"/>
      <c r="AR174" s="3"/>
      <c r="AS174" s="3"/>
      <c r="AT174" s="3"/>
      <c r="AU174" s="3"/>
      <c r="AV174" s="3"/>
    </row>
    <row r="175" spans="1:48" ht="15.4" x14ac:dyDescent="0.35">
      <c r="A175" s="9"/>
      <c r="B175" s="3"/>
      <c r="C175" s="10"/>
      <c r="D175" s="10"/>
      <c r="E175" s="10"/>
      <c r="F175" s="10"/>
      <c r="G175" s="3"/>
      <c r="H175" s="9"/>
      <c r="I175" s="9"/>
      <c r="J175" s="9"/>
      <c r="K175" s="10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3"/>
      <c r="AM175" s="3"/>
      <c r="AN175" s="10"/>
      <c r="AO175" s="3"/>
      <c r="AP175" s="3"/>
      <c r="AQ175" s="3"/>
      <c r="AR175" s="3"/>
      <c r="AS175" s="3"/>
      <c r="AT175" s="3"/>
      <c r="AU175" s="3"/>
      <c r="AV175" s="3"/>
    </row>
    <row r="176" spans="1:48" ht="15.4" x14ac:dyDescent="0.35">
      <c r="A176" s="9"/>
      <c r="B176" s="3"/>
      <c r="C176" s="10"/>
      <c r="D176" s="10"/>
      <c r="E176" s="10"/>
      <c r="F176" s="10"/>
      <c r="G176" s="3"/>
      <c r="H176" s="9"/>
      <c r="I176" s="9"/>
      <c r="J176" s="9"/>
      <c r="K176" s="10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3"/>
      <c r="AM176" s="3"/>
      <c r="AN176" s="10"/>
      <c r="AO176" s="3"/>
      <c r="AP176" s="3"/>
      <c r="AQ176" s="3"/>
      <c r="AR176" s="3"/>
      <c r="AS176" s="3"/>
      <c r="AT176" s="3"/>
      <c r="AU176" s="3"/>
      <c r="AV176" s="3"/>
    </row>
    <row r="177" spans="1:48" ht="15.4" x14ac:dyDescent="0.35">
      <c r="A177" s="9"/>
      <c r="B177" s="3"/>
      <c r="C177" s="10"/>
      <c r="D177" s="10"/>
      <c r="E177" s="10"/>
      <c r="F177" s="10"/>
      <c r="G177" s="3"/>
      <c r="H177" s="9"/>
      <c r="I177" s="9"/>
      <c r="J177" s="9"/>
      <c r="K177" s="10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3"/>
      <c r="AM177" s="3"/>
      <c r="AN177" s="10"/>
      <c r="AO177" s="3"/>
      <c r="AP177" s="3"/>
      <c r="AQ177" s="3"/>
      <c r="AR177" s="3"/>
      <c r="AS177" s="3"/>
      <c r="AT177" s="3"/>
      <c r="AU177" s="3"/>
      <c r="AV177" s="3"/>
    </row>
    <row r="178" spans="1:48" ht="15.4" x14ac:dyDescent="0.35">
      <c r="A178" s="9"/>
      <c r="B178" s="3"/>
      <c r="C178" s="10"/>
      <c r="D178" s="10"/>
      <c r="E178" s="10"/>
      <c r="F178" s="10"/>
      <c r="G178" s="3"/>
      <c r="H178" s="9"/>
      <c r="I178" s="9"/>
      <c r="J178" s="9"/>
      <c r="K178" s="10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3"/>
      <c r="AM178" s="3"/>
      <c r="AN178" s="10"/>
      <c r="AO178" s="3"/>
      <c r="AP178" s="3"/>
      <c r="AQ178" s="3"/>
      <c r="AR178" s="3"/>
      <c r="AS178" s="3"/>
      <c r="AT178" s="3"/>
      <c r="AU178" s="3"/>
      <c r="AV178" s="3"/>
    </row>
    <row r="179" spans="1:48" ht="15.4" x14ac:dyDescent="0.35">
      <c r="A179" s="9"/>
      <c r="B179" s="3"/>
      <c r="C179" s="10"/>
      <c r="D179" s="10"/>
      <c r="E179" s="10"/>
      <c r="F179" s="10"/>
      <c r="G179" s="3"/>
      <c r="H179" s="9"/>
      <c r="I179" s="9"/>
      <c r="J179" s="9"/>
      <c r="K179" s="10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3"/>
      <c r="AM179" s="3"/>
      <c r="AN179" s="10"/>
      <c r="AO179" s="3"/>
      <c r="AP179" s="3"/>
      <c r="AQ179" s="3"/>
      <c r="AR179" s="3"/>
      <c r="AS179" s="3"/>
      <c r="AT179" s="3"/>
      <c r="AU179" s="3"/>
      <c r="AV179" s="3"/>
    </row>
    <row r="180" spans="1:48" ht="15.4" x14ac:dyDescent="0.35">
      <c r="A180" s="9"/>
      <c r="B180" s="3"/>
      <c r="C180" s="10"/>
      <c r="D180" s="10"/>
      <c r="E180" s="10"/>
      <c r="F180" s="10"/>
      <c r="G180" s="3"/>
      <c r="H180" s="9"/>
      <c r="I180" s="9"/>
      <c r="J180" s="9"/>
      <c r="K180" s="10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3"/>
      <c r="AM180" s="3"/>
      <c r="AN180" s="10"/>
      <c r="AO180" s="3"/>
      <c r="AP180" s="3"/>
      <c r="AQ180" s="3"/>
      <c r="AR180" s="3"/>
      <c r="AS180" s="3"/>
      <c r="AT180" s="3"/>
      <c r="AU180" s="3"/>
      <c r="AV180" s="3"/>
    </row>
    <row r="181" spans="1:48" ht="15.4" x14ac:dyDescent="0.35">
      <c r="A181" s="9"/>
      <c r="B181" s="3"/>
      <c r="C181" s="10"/>
      <c r="D181" s="10"/>
      <c r="E181" s="10"/>
      <c r="F181" s="10"/>
      <c r="G181" s="3"/>
      <c r="H181" s="9"/>
      <c r="I181" s="9"/>
      <c r="J181" s="9"/>
      <c r="K181" s="10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3"/>
      <c r="AM181" s="3"/>
      <c r="AN181" s="10"/>
      <c r="AO181" s="3"/>
      <c r="AP181" s="3"/>
      <c r="AQ181" s="3"/>
      <c r="AR181" s="3"/>
      <c r="AS181" s="3"/>
      <c r="AT181" s="3"/>
      <c r="AU181" s="3"/>
      <c r="AV181" s="3"/>
    </row>
    <row r="182" spans="1:48" ht="15.4" x14ac:dyDescent="0.35">
      <c r="A182" s="9"/>
      <c r="B182" s="3"/>
      <c r="C182" s="10"/>
      <c r="D182" s="10"/>
      <c r="E182" s="10"/>
      <c r="F182" s="10"/>
      <c r="G182" s="3"/>
      <c r="H182" s="9"/>
      <c r="I182" s="9"/>
      <c r="J182" s="9"/>
      <c r="K182" s="10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3"/>
      <c r="AM182" s="3"/>
      <c r="AN182" s="10"/>
      <c r="AO182" s="3"/>
      <c r="AP182" s="3"/>
      <c r="AQ182" s="3"/>
      <c r="AR182" s="3"/>
      <c r="AS182" s="3"/>
      <c r="AT182" s="3"/>
      <c r="AU182" s="3"/>
      <c r="AV182" s="3"/>
    </row>
    <row r="183" spans="1:48" ht="15.4" x14ac:dyDescent="0.35">
      <c r="A183" s="9"/>
      <c r="B183" s="3"/>
      <c r="C183" s="10"/>
      <c r="D183" s="10"/>
      <c r="E183" s="10"/>
      <c r="F183" s="10"/>
      <c r="G183" s="3"/>
      <c r="H183" s="9"/>
      <c r="I183" s="9"/>
      <c r="J183" s="9"/>
      <c r="K183" s="10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3"/>
      <c r="AM183" s="3"/>
      <c r="AN183" s="10"/>
      <c r="AO183" s="3"/>
      <c r="AP183" s="3"/>
      <c r="AQ183" s="3"/>
      <c r="AR183" s="3"/>
      <c r="AS183" s="3"/>
      <c r="AT183" s="3"/>
      <c r="AU183" s="3"/>
      <c r="AV183" s="3"/>
    </row>
    <row r="184" spans="1:48" ht="15.4" x14ac:dyDescent="0.35">
      <c r="A184" s="9"/>
      <c r="B184" s="3"/>
      <c r="C184" s="10"/>
      <c r="D184" s="10"/>
      <c r="E184" s="10"/>
      <c r="F184" s="10"/>
      <c r="G184" s="3"/>
      <c r="H184" s="9"/>
      <c r="I184" s="9"/>
      <c r="J184" s="9"/>
      <c r="K184" s="10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3"/>
      <c r="AM184" s="3"/>
      <c r="AN184" s="10"/>
      <c r="AO184" s="3"/>
      <c r="AP184" s="3"/>
      <c r="AQ184" s="3"/>
      <c r="AR184" s="3"/>
      <c r="AS184" s="3"/>
      <c r="AT184" s="3"/>
      <c r="AU184" s="3"/>
      <c r="AV184" s="3"/>
    </row>
    <row r="185" spans="1:48" ht="15.4" x14ac:dyDescent="0.35">
      <c r="A185" s="9"/>
      <c r="B185" s="3"/>
      <c r="C185" s="10"/>
      <c r="D185" s="10"/>
      <c r="E185" s="10"/>
      <c r="F185" s="10"/>
      <c r="G185" s="3"/>
      <c r="H185" s="9"/>
      <c r="I185" s="9"/>
      <c r="J185" s="9"/>
      <c r="K185" s="10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3"/>
      <c r="AM185" s="3"/>
      <c r="AN185" s="10"/>
      <c r="AO185" s="3"/>
      <c r="AP185" s="3"/>
      <c r="AQ185" s="3"/>
      <c r="AR185" s="3"/>
      <c r="AS185" s="3"/>
      <c r="AT185" s="3"/>
      <c r="AU185" s="3"/>
      <c r="AV185" s="3"/>
    </row>
    <row r="186" spans="1:48" ht="15.4" x14ac:dyDescent="0.35">
      <c r="A186" s="9"/>
      <c r="B186" s="3"/>
      <c r="C186" s="10"/>
      <c r="D186" s="10"/>
      <c r="E186" s="10"/>
      <c r="F186" s="10"/>
      <c r="G186" s="3"/>
      <c r="H186" s="9"/>
      <c r="I186" s="9"/>
      <c r="J186" s="9"/>
      <c r="K186" s="10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3"/>
      <c r="AM186" s="3"/>
      <c r="AN186" s="10"/>
      <c r="AO186" s="3"/>
      <c r="AP186" s="3"/>
      <c r="AQ186" s="3"/>
      <c r="AR186" s="3"/>
      <c r="AS186" s="3"/>
      <c r="AT186" s="3"/>
      <c r="AU186" s="3"/>
      <c r="AV186" s="3"/>
    </row>
    <row r="187" spans="1:48" ht="15.4" x14ac:dyDescent="0.35">
      <c r="A187" s="9"/>
      <c r="B187" s="3"/>
      <c r="C187" s="10"/>
      <c r="D187" s="10"/>
      <c r="E187" s="10"/>
      <c r="F187" s="10"/>
      <c r="G187" s="3"/>
      <c r="H187" s="9"/>
      <c r="I187" s="9"/>
      <c r="J187" s="9"/>
      <c r="K187" s="10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3"/>
      <c r="AM187" s="3"/>
      <c r="AN187" s="10"/>
      <c r="AO187" s="3"/>
      <c r="AP187" s="3"/>
      <c r="AQ187" s="3"/>
      <c r="AR187" s="3"/>
      <c r="AS187" s="3"/>
      <c r="AT187" s="3"/>
      <c r="AU187" s="3"/>
      <c r="AV187" s="3"/>
    </row>
    <row r="188" spans="1:48" ht="15.4" x14ac:dyDescent="0.35">
      <c r="A188" s="9"/>
      <c r="B188" s="3"/>
      <c r="C188" s="10"/>
      <c r="D188" s="10"/>
      <c r="E188" s="10"/>
      <c r="F188" s="10"/>
      <c r="G188" s="3"/>
      <c r="H188" s="9"/>
      <c r="I188" s="9"/>
      <c r="J188" s="9"/>
      <c r="K188" s="10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3"/>
      <c r="AM188" s="3"/>
      <c r="AN188" s="10"/>
      <c r="AO188" s="3"/>
      <c r="AP188" s="3"/>
      <c r="AQ188" s="3"/>
      <c r="AR188" s="3"/>
      <c r="AS188" s="3"/>
      <c r="AT188" s="3"/>
      <c r="AU188" s="3"/>
      <c r="AV188" s="3"/>
    </row>
    <row r="189" spans="1:48" ht="15.4" x14ac:dyDescent="0.35">
      <c r="A189" s="9"/>
      <c r="B189" s="3"/>
      <c r="C189" s="10"/>
      <c r="D189" s="10"/>
      <c r="E189" s="10"/>
      <c r="F189" s="10"/>
      <c r="G189" s="3"/>
      <c r="H189" s="9"/>
      <c r="I189" s="9"/>
      <c r="J189" s="9"/>
      <c r="K189" s="10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3"/>
      <c r="AM189" s="3"/>
      <c r="AN189" s="10"/>
      <c r="AO189" s="3"/>
      <c r="AP189" s="3"/>
      <c r="AQ189" s="3"/>
      <c r="AR189" s="3"/>
      <c r="AS189" s="3"/>
      <c r="AT189" s="3"/>
      <c r="AU189" s="3"/>
      <c r="AV189" s="3"/>
    </row>
    <row r="190" spans="1:48" ht="15.4" x14ac:dyDescent="0.35">
      <c r="A190" s="9"/>
      <c r="B190" s="3"/>
      <c r="C190" s="10"/>
      <c r="D190" s="10"/>
      <c r="E190" s="10"/>
      <c r="F190" s="10"/>
      <c r="G190" s="3"/>
      <c r="H190" s="9"/>
      <c r="I190" s="9"/>
      <c r="J190" s="9"/>
      <c r="K190" s="10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3"/>
      <c r="AM190" s="3"/>
      <c r="AN190" s="10"/>
      <c r="AO190" s="3"/>
      <c r="AP190" s="3"/>
      <c r="AQ190" s="3"/>
      <c r="AR190" s="3"/>
      <c r="AS190" s="3"/>
      <c r="AT190" s="3"/>
      <c r="AU190" s="3"/>
      <c r="AV190" s="3"/>
    </row>
    <row r="191" spans="1:48" ht="15.4" x14ac:dyDescent="0.35">
      <c r="A191" s="9"/>
      <c r="B191" s="3"/>
      <c r="C191" s="10"/>
      <c r="D191" s="10"/>
      <c r="E191" s="10"/>
      <c r="F191" s="10"/>
      <c r="G191" s="3"/>
      <c r="H191" s="9"/>
      <c r="I191" s="9"/>
      <c r="J191" s="9"/>
      <c r="K191" s="10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3"/>
      <c r="AM191" s="3"/>
      <c r="AN191" s="10"/>
      <c r="AO191" s="3"/>
      <c r="AP191" s="3"/>
      <c r="AQ191" s="3"/>
      <c r="AR191" s="3"/>
      <c r="AS191" s="3"/>
      <c r="AT191" s="3"/>
      <c r="AU191" s="3"/>
      <c r="AV191" s="3"/>
    </row>
    <row r="192" spans="1:48" ht="15.4" x14ac:dyDescent="0.35">
      <c r="A192" s="9"/>
      <c r="B192" s="3"/>
      <c r="C192" s="10"/>
      <c r="D192" s="10"/>
      <c r="E192" s="10"/>
      <c r="F192" s="10"/>
      <c r="G192" s="3"/>
      <c r="H192" s="9"/>
      <c r="I192" s="9"/>
      <c r="J192" s="9"/>
      <c r="K192" s="10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3"/>
      <c r="AM192" s="3"/>
      <c r="AN192" s="10"/>
      <c r="AO192" s="3"/>
      <c r="AP192" s="3"/>
      <c r="AQ192" s="3"/>
      <c r="AR192" s="3"/>
      <c r="AS192" s="3"/>
      <c r="AT192" s="3"/>
      <c r="AU192" s="3"/>
      <c r="AV192" s="3"/>
    </row>
    <row r="193" spans="1:48" ht="15.4" x14ac:dyDescent="0.35">
      <c r="A193" s="9"/>
      <c r="B193" s="3"/>
      <c r="C193" s="10"/>
      <c r="D193" s="10"/>
      <c r="E193" s="10"/>
      <c r="F193" s="10"/>
      <c r="G193" s="3"/>
      <c r="H193" s="9"/>
      <c r="I193" s="9"/>
      <c r="J193" s="9"/>
      <c r="K193" s="10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3"/>
      <c r="AM193" s="3"/>
      <c r="AN193" s="10"/>
      <c r="AO193" s="3"/>
      <c r="AP193" s="3"/>
      <c r="AQ193" s="3"/>
      <c r="AR193" s="3"/>
      <c r="AS193" s="3"/>
      <c r="AT193" s="3"/>
      <c r="AU193" s="3"/>
      <c r="AV193" s="3"/>
    </row>
    <row r="194" spans="1:48" ht="15.4" x14ac:dyDescent="0.35">
      <c r="A194" s="9"/>
      <c r="B194" s="3"/>
      <c r="C194" s="10"/>
      <c r="D194" s="10"/>
      <c r="E194" s="10"/>
      <c r="F194" s="10"/>
      <c r="G194" s="3"/>
      <c r="H194" s="9"/>
      <c r="I194" s="9"/>
      <c r="J194" s="9"/>
      <c r="K194" s="10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3"/>
      <c r="AM194" s="3"/>
      <c r="AN194" s="10"/>
      <c r="AO194" s="3"/>
      <c r="AP194" s="3"/>
      <c r="AQ194" s="3"/>
      <c r="AR194" s="3"/>
      <c r="AS194" s="3"/>
      <c r="AT194" s="3"/>
      <c r="AU194" s="3"/>
      <c r="AV194" s="3"/>
    </row>
    <row r="195" spans="1:48" ht="15.4" x14ac:dyDescent="0.35">
      <c r="A195" s="9"/>
      <c r="B195" s="3"/>
      <c r="C195" s="10"/>
      <c r="D195" s="10"/>
      <c r="E195" s="10"/>
      <c r="F195" s="10"/>
      <c r="G195" s="3"/>
      <c r="H195" s="9"/>
      <c r="I195" s="9"/>
      <c r="J195" s="9"/>
      <c r="K195" s="10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3"/>
      <c r="AM195" s="3"/>
      <c r="AN195" s="10"/>
      <c r="AO195" s="3"/>
      <c r="AP195" s="3"/>
      <c r="AQ195" s="3"/>
      <c r="AR195" s="3"/>
      <c r="AS195" s="3"/>
      <c r="AT195" s="3"/>
      <c r="AU195" s="3"/>
      <c r="AV195" s="3"/>
    </row>
    <row r="196" spans="1:48" ht="15.4" x14ac:dyDescent="0.35">
      <c r="A196" s="9"/>
      <c r="B196" s="3"/>
      <c r="C196" s="10"/>
      <c r="D196" s="10"/>
      <c r="E196" s="10"/>
      <c r="F196" s="10"/>
      <c r="G196" s="3"/>
      <c r="H196" s="9"/>
      <c r="I196" s="9"/>
      <c r="J196" s="9"/>
      <c r="K196" s="10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3"/>
      <c r="AM196" s="3"/>
      <c r="AN196" s="10"/>
      <c r="AO196" s="3"/>
      <c r="AP196" s="3"/>
      <c r="AQ196" s="3"/>
      <c r="AR196" s="3"/>
      <c r="AS196" s="3"/>
      <c r="AT196" s="3"/>
      <c r="AU196" s="3"/>
      <c r="AV196" s="3"/>
    </row>
    <row r="197" spans="1:48" ht="15.4" x14ac:dyDescent="0.35">
      <c r="A197" s="9"/>
      <c r="B197" s="3"/>
      <c r="C197" s="10"/>
      <c r="D197" s="10"/>
      <c r="E197" s="10"/>
      <c r="F197" s="10"/>
      <c r="G197" s="3"/>
      <c r="H197" s="9"/>
      <c r="I197" s="9"/>
      <c r="J197" s="9"/>
      <c r="K197" s="10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3"/>
      <c r="AM197" s="3"/>
      <c r="AN197" s="10"/>
      <c r="AO197" s="3"/>
      <c r="AP197" s="3"/>
      <c r="AQ197" s="3"/>
      <c r="AR197" s="3"/>
      <c r="AS197" s="3"/>
      <c r="AT197" s="3"/>
      <c r="AU197" s="3"/>
      <c r="AV197" s="3"/>
    </row>
    <row r="198" spans="1:48" ht="15.4" x14ac:dyDescent="0.35">
      <c r="A198" s="9"/>
      <c r="B198" s="3"/>
      <c r="C198" s="10"/>
      <c r="D198" s="10"/>
      <c r="E198" s="10"/>
      <c r="F198" s="10"/>
      <c r="G198" s="3"/>
      <c r="H198" s="9"/>
      <c r="I198" s="9"/>
      <c r="J198" s="9"/>
      <c r="K198" s="10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3"/>
      <c r="AM198" s="3"/>
      <c r="AN198" s="10"/>
      <c r="AO198" s="3"/>
      <c r="AP198" s="3"/>
      <c r="AQ198" s="3"/>
      <c r="AR198" s="3"/>
      <c r="AS198" s="3"/>
      <c r="AT198" s="3"/>
      <c r="AU198" s="3"/>
      <c r="AV198" s="3"/>
    </row>
    <row r="199" spans="1:48" ht="15.4" x14ac:dyDescent="0.35">
      <c r="A199" s="9"/>
      <c r="B199" s="3"/>
      <c r="C199" s="10"/>
      <c r="D199" s="10"/>
      <c r="E199" s="10"/>
      <c r="F199" s="10"/>
      <c r="G199" s="3"/>
      <c r="H199" s="9"/>
      <c r="I199" s="9"/>
      <c r="J199" s="9"/>
      <c r="K199" s="10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3"/>
      <c r="AM199" s="3"/>
      <c r="AN199" s="10"/>
      <c r="AO199" s="3"/>
      <c r="AP199" s="3"/>
      <c r="AQ199" s="3"/>
      <c r="AR199" s="3"/>
      <c r="AS199" s="3"/>
      <c r="AT199" s="3"/>
      <c r="AU199" s="3"/>
      <c r="AV199" s="3"/>
    </row>
    <row r="200" spans="1:48" ht="15.4" x14ac:dyDescent="0.35">
      <c r="A200" s="9"/>
      <c r="B200" s="3"/>
      <c r="C200" s="10"/>
      <c r="D200" s="10"/>
      <c r="E200" s="10"/>
      <c r="F200" s="10"/>
      <c r="G200" s="3"/>
      <c r="H200" s="9"/>
      <c r="I200" s="9"/>
      <c r="J200" s="9"/>
      <c r="K200" s="10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3"/>
      <c r="AM200" s="3"/>
      <c r="AN200" s="10"/>
      <c r="AO200" s="3"/>
      <c r="AP200" s="3"/>
      <c r="AQ200" s="3"/>
      <c r="AR200" s="3"/>
      <c r="AS200" s="3"/>
      <c r="AT200" s="3"/>
      <c r="AU200" s="3"/>
      <c r="AV200" s="3"/>
    </row>
    <row r="201" spans="1:48" ht="15.4" x14ac:dyDescent="0.35">
      <c r="A201" s="9"/>
      <c r="B201" s="3"/>
      <c r="C201" s="10"/>
      <c r="D201" s="10"/>
      <c r="E201" s="10"/>
      <c r="F201" s="10"/>
      <c r="G201" s="3"/>
      <c r="H201" s="9"/>
      <c r="I201" s="9"/>
      <c r="J201" s="9"/>
      <c r="K201" s="10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3"/>
      <c r="AM201" s="3"/>
      <c r="AN201" s="10"/>
      <c r="AO201" s="3"/>
      <c r="AP201" s="3"/>
      <c r="AQ201" s="3"/>
      <c r="AR201" s="3"/>
      <c r="AS201" s="3"/>
      <c r="AT201" s="3"/>
      <c r="AU201" s="3"/>
      <c r="AV201" s="3"/>
    </row>
    <row r="202" spans="1:48" ht="15.4" x14ac:dyDescent="0.35">
      <c r="A202" s="9"/>
      <c r="B202" s="3"/>
      <c r="C202" s="10"/>
      <c r="D202" s="10"/>
      <c r="E202" s="10"/>
      <c r="F202" s="10"/>
      <c r="G202" s="3"/>
      <c r="H202" s="9"/>
      <c r="I202" s="9"/>
      <c r="J202" s="9"/>
      <c r="K202" s="10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3"/>
      <c r="AM202" s="3"/>
      <c r="AN202" s="10"/>
      <c r="AO202" s="3"/>
      <c r="AP202" s="3"/>
      <c r="AQ202" s="3"/>
      <c r="AR202" s="3"/>
      <c r="AS202" s="3"/>
      <c r="AT202" s="3"/>
      <c r="AU202" s="3"/>
      <c r="AV202" s="3"/>
    </row>
    <row r="203" spans="1:48" ht="15.4" x14ac:dyDescent="0.35">
      <c r="A203" s="9"/>
      <c r="B203" s="3"/>
      <c r="C203" s="10"/>
      <c r="D203" s="10"/>
      <c r="E203" s="10"/>
      <c r="F203" s="10"/>
      <c r="G203" s="3"/>
      <c r="H203" s="9"/>
      <c r="I203" s="9"/>
      <c r="J203" s="9"/>
      <c r="K203" s="10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3"/>
      <c r="AM203" s="3"/>
      <c r="AN203" s="10"/>
      <c r="AO203" s="3"/>
      <c r="AP203" s="3"/>
      <c r="AQ203" s="3"/>
      <c r="AR203" s="3"/>
      <c r="AS203" s="3"/>
      <c r="AT203" s="3"/>
      <c r="AU203" s="3"/>
      <c r="AV203" s="3"/>
    </row>
    <row r="204" spans="1:48" ht="15.4" x14ac:dyDescent="0.35">
      <c r="A204" s="9"/>
      <c r="B204" s="3"/>
      <c r="C204" s="10"/>
      <c r="D204" s="10"/>
      <c r="E204" s="10"/>
      <c r="F204" s="10"/>
      <c r="G204" s="3"/>
      <c r="H204" s="9"/>
      <c r="I204" s="9"/>
      <c r="J204" s="9"/>
      <c r="K204" s="10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3"/>
      <c r="AM204" s="3"/>
      <c r="AN204" s="10"/>
      <c r="AO204" s="3"/>
      <c r="AP204" s="3"/>
      <c r="AQ204" s="3"/>
      <c r="AR204" s="3"/>
      <c r="AS204" s="3"/>
      <c r="AT204" s="3"/>
      <c r="AU204" s="3"/>
      <c r="AV204" s="3"/>
    </row>
    <row r="205" spans="1:48" ht="15.4" x14ac:dyDescent="0.35">
      <c r="A205" s="9"/>
      <c r="B205" s="3"/>
      <c r="C205" s="10"/>
      <c r="D205" s="10"/>
      <c r="E205" s="10"/>
      <c r="F205" s="10"/>
      <c r="G205" s="3"/>
      <c r="H205" s="9"/>
      <c r="I205" s="9"/>
      <c r="J205" s="9"/>
      <c r="K205" s="10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3"/>
      <c r="AM205" s="3"/>
      <c r="AN205" s="10"/>
      <c r="AO205" s="3"/>
      <c r="AP205" s="3"/>
      <c r="AQ205" s="3"/>
      <c r="AR205" s="3"/>
      <c r="AS205" s="3"/>
      <c r="AT205" s="3"/>
      <c r="AU205" s="3"/>
      <c r="AV205" s="3"/>
    </row>
    <row r="206" spans="1:48" ht="15.4" x14ac:dyDescent="0.35">
      <c r="A206" s="9"/>
      <c r="B206" s="3"/>
      <c r="C206" s="10"/>
      <c r="D206" s="10"/>
      <c r="E206" s="10"/>
      <c r="F206" s="10"/>
      <c r="G206" s="3"/>
      <c r="H206" s="9"/>
      <c r="I206" s="9"/>
      <c r="J206" s="9"/>
      <c r="K206" s="10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3"/>
      <c r="AM206" s="3"/>
      <c r="AN206" s="10"/>
      <c r="AO206" s="3"/>
      <c r="AP206" s="3"/>
      <c r="AQ206" s="3"/>
      <c r="AR206" s="3"/>
      <c r="AS206" s="3"/>
      <c r="AT206" s="3"/>
      <c r="AU206" s="3"/>
      <c r="AV206" s="3"/>
    </row>
    <row r="207" spans="1:48" ht="15.4" x14ac:dyDescent="0.35">
      <c r="A207" s="9"/>
      <c r="B207" s="3"/>
      <c r="C207" s="10"/>
      <c r="D207" s="10"/>
      <c r="E207" s="10"/>
      <c r="F207" s="10"/>
      <c r="G207" s="3"/>
      <c r="H207" s="9"/>
      <c r="I207" s="9"/>
      <c r="J207" s="9"/>
      <c r="K207" s="10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3"/>
      <c r="AM207" s="3"/>
      <c r="AN207" s="10"/>
      <c r="AO207" s="3"/>
      <c r="AP207" s="3"/>
      <c r="AQ207" s="3"/>
      <c r="AR207" s="3"/>
      <c r="AS207" s="3"/>
      <c r="AT207" s="3"/>
      <c r="AU207" s="3"/>
      <c r="AV207" s="3"/>
    </row>
    <row r="208" spans="1:48" ht="15.4" x14ac:dyDescent="0.35">
      <c r="A208" s="9"/>
      <c r="B208" s="3"/>
      <c r="C208" s="10"/>
      <c r="D208" s="10"/>
      <c r="E208" s="10"/>
      <c r="F208" s="10"/>
      <c r="G208" s="3"/>
      <c r="H208" s="9"/>
      <c r="I208" s="9"/>
      <c r="J208" s="9"/>
      <c r="K208" s="10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3"/>
      <c r="AM208" s="3"/>
      <c r="AN208" s="10"/>
      <c r="AO208" s="3"/>
      <c r="AP208" s="3"/>
      <c r="AQ208" s="3"/>
      <c r="AR208" s="3"/>
      <c r="AS208" s="3"/>
      <c r="AT208" s="3"/>
      <c r="AU208" s="3"/>
      <c r="AV208" s="3"/>
    </row>
    <row r="209" spans="1:48" ht="15.4" x14ac:dyDescent="0.35">
      <c r="A209" s="9"/>
      <c r="B209" s="3"/>
      <c r="C209" s="10"/>
      <c r="D209" s="10"/>
      <c r="E209" s="10"/>
      <c r="F209" s="10"/>
      <c r="G209" s="3"/>
      <c r="H209" s="9"/>
      <c r="I209" s="9"/>
      <c r="J209" s="9"/>
      <c r="K209" s="10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3"/>
      <c r="AM209" s="3"/>
      <c r="AN209" s="10"/>
      <c r="AO209" s="3"/>
      <c r="AP209" s="3"/>
      <c r="AQ209" s="3"/>
      <c r="AR209" s="3"/>
      <c r="AS209" s="3"/>
      <c r="AT209" s="3"/>
      <c r="AU209" s="3"/>
      <c r="AV209" s="3"/>
    </row>
    <row r="210" spans="1:48" ht="15.4" x14ac:dyDescent="0.35">
      <c r="A210" s="9"/>
      <c r="B210" s="3"/>
      <c r="C210" s="10"/>
      <c r="D210" s="10"/>
      <c r="E210" s="10"/>
      <c r="F210" s="10"/>
      <c r="G210" s="3"/>
      <c r="H210" s="9"/>
      <c r="I210" s="9"/>
      <c r="J210" s="9"/>
      <c r="K210" s="10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3"/>
      <c r="AM210" s="3"/>
      <c r="AN210" s="10"/>
      <c r="AO210" s="3"/>
      <c r="AP210" s="3"/>
      <c r="AQ210" s="3"/>
      <c r="AR210" s="3"/>
      <c r="AS210" s="3"/>
      <c r="AT210" s="3"/>
      <c r="AU210" s="3"/>
      <c r="AV210" s="3"/>
    </row>
    <row r="211" spans="1:48" ht="15.4" x14ac:dyDescent="0.35">
      <c r="A211" s="9"/>
      <c r="B211" s="3"/>
      <c r="C211" s="10"/>
      <c r="D211" s="10"/>
      <c r="E211" s="10"/>
      <c r="F211" s="10"/>
      <c r="G211" s="3"/>
      <c r="H211" s="9"/>
      <c r="I211" s="9"/>
      <c r="J211" s="9"/>
      <c r="K211" s="10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3"/>
      <c r="AM211" s="3"/>
      <c r="AN211" s="10"/>
      <c r="AO211" s="3"/>
      <c r="AP211" s="3"/>
      <c r="AQ211" s="3"/>
      <c r="AR211" s="3"/>
      <c r="AS211" s="3"/>
      <c r="AT211" s="3"/>
      <c r="AU211" s="3"/>
      <c r="AV211" s="3"/>
    </row>
    <row r="212" spans="1:48" ht="15.4" x14ac:dyDescent="0.35">
      <c r="A212" s="9"/>
      <c r="B212" s="3"/>
      <c r="C212" s="10"/>
      <c r="D212" s="10"/>
      <c r="E212" s="10"/>
      <c r="F212" s="10"/>
      <c r="G212" s="3"/>
      <c r="H212" s="9"/>
      <c r="I212" s="9"/>
      <c r="J212" s="9"/>
      <c r="K212" s="10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3"/>
      <c r="AM212" s="3"/>
      <c r="AN212" s="10"/>
      <c r="AO212" s="3"/>
      <c r="AP212" s="3"/>
      <c r="AQ212" s="3"/>
      <c r="AR212" s="3"/>
      <c r="AS212" s="3"/>
      <c r="AT212" s="3"/>
      <c r="AU212" s="3"/>
      <c r="AV212" s="3"/>
    </row>
    <row r="213" spans="1:48" ht="15.4" x14ac:dyDescent="0.35">
      <c r="A213" s="9"/>
      <c r="B213" s="3"/>
      <c r="C213" s="10"/>
      <c r="D213" s="10"/>
      <c r="E213" s="10"/>
      <c r="F213" s="10"/>
      <c r="G213" s="3"/>
      <c r="H213" s="9"/>
      <c r="I213" s="9"/>
      <c r="J213" s="9"/>
      <c r="K213" s="10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3"/>
      <c r="AM213" s="3"/>
      <c r="AN213" s="10"/>
      <c r="AO213" s="3"/>
      <c r="AP213" s="3"/>
      <c r="AQ213" s="3"/>
      <c r="AR213" s="3"/>
      <c r="AS213" s="3"/>
      <c r="AT213" s="3"/>
      <c r="AU213" s="3"/>
      <c r="AV213" s="3"/>
    </row>
    <row r="214" spans="1:48" ht="15.4" x14ac:dyDescent="0.35">
      <c r="A214" s="9"/>
      <c r="B214" s="3"/>
      <c r="C214" s="10"/>
      <c r="D214" s="10"/>
      <c r="E214" s="10"/>
      <c r="F214" s="10"/>
      <c r="G214" s="3"/>
      <c r="H214" s="9"/>
      <c r="I214" s="9"/>
      <c r="J214" s="9"/>
      <c r="K214" s="10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3"/>
      <c r="AM214" s="3"/>
      <c r="AN214" s="10"/>
      <c r="AO214" s="3"/>
      <c r="AP214" s="3"/>
      <c r="AQ214" s="3"/>
      <c r="AR214" s="3"/>
      <c r="AS214" s="3"/>
      <c r="AT214" s="3"/>
      <c r="AU214" s="3"/>
      <c r="AV214" s="3"/>
    </row>
    <row r="215" spans="1:48" ht="15.4" x14ac:dyDescent="0.35">
      <c r="A215" s="9"/>
      <c r="B215" s="3"/>
      <c r="C215" s="10"/>
      <c r="D215" s="10"/>
      <c r="E215" s="10"/>
      <c r="F215" s="10"/>
      <c r="G215" s="3"/>
      <c r="H215" s="9"/>
      <c r="I215" s="9"/>
      <c r="J215" s="9"/>
      <c r="K215" s="10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3"/>
      <c r="AM215" s="3"/>
      <c r="AN215" s="10"/>
      <c r="AO215" s="3"/>
      <c r="AP215" s="3"/>
      <c r="AQ215" s="3"/>
      <c r="AR215" s="3"/>
      <c r="AS215" s="3"/>
      <c r="AT215" s="3"/>
      <c r="AU215" s="3"/>
      <c r="AV215" s="3"/>
    </row>
    <row r="216" spans="1:48" ht="15.4" x14ac:dyDescent="0.35">
      <c r="A216" s="9"/>
      <c r="B216" s="3"/>
      <c r="C216" s="10"/>
      <c r="D216" s="10"/>
      <c r="E216" s="10"/>
      <c r="F216" s="10"/>
      <c r="G216" s="3"/>
      <c r="H216" s="9"/>
      <c r="I216" s="9"/>
      <c r="J216" s="9"/>
      <c r="K216" s="10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3"/>
      <c r="AM216" s="3"/>
      <c r="AN216" s="10"/>
      <c r="AO216" s="3"/>
      <c r="AP216" s="3"/>
      <c r="AQ216" s="3"/>
      <c r="AR216" s="3"/>
      <c r="AS216" s="3"/>
      <c r="AT216" s="3"/>
      <c r="AU216" s="3"/>
      <c r="AV216" s="3"/>
    </row>
    <row r="217" spans="1:48" ht="15.4" x14ac:dyDescent="0.35">
      <c r="A217" s="9"/>
      <c r="B217" s="3"/>
      <c r="C217" s="10"/>
      <c r="D217" s="10"/>
      <c r="E217" s="10"/>
      <c r="F217" s="10"/>
      <c r="G217" s="3"/>
      <c r="H217" s="9"/>
      <c r="I217" s="9"/>
      <c r="J217" s="9"/>
      <c r="K217" s="10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3"/>
      <c r="AM217" s="3"/>
      <c r="AN217" s="10"/>
      <c r="AO217" s="3"/>
      <c r="AP217" s="3"/>
      <c r="AQ217" s="3"/>
      <c r="AR217" s="3"/>
      <c r="AS217" s="3"/>
      <c r="AT217" s="3"/>
      <c r="AU217" s="3"/>
      <c r="AV217" s="3"/>
    </row>
    <row r="218" spans="1:48" ht="15.4" x14ac:dyDescent="0.35">
      <c r="A218" s="9"/>
      <c r="B218" s="3"/>
      <c r="C218" s="10"/>
      <c r="D218" s="10"/>
      <c r="E218" s="10"/>
      <c r="F218" s="10"/>
      <c r="G218" s="3"/>
      <c r="H218" s="9"/>
      <c r="I218" s="9"/>
      <c r="J218" s="9"/>
      <c r="K218" s="10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3"/>
      <c r="AM218" s="3"/>
      <c r="AN218" s="10"/>
      <c r="AO218" s="3"/>
      <c r="AP218" s="3"/>
      <c r="AQ218" s="3"/>
      <c r="AR218" s="3"/>
      <c r="AS218" s="3"/>
      <c r="AT218" s="3"/>
      <c r="AU218" s="3"/>
      <c r="AV218" s="3"/>
    </row>
    <row r="219" spans="1:48" ht="15.4" x14ac:dyDescent="0.35">
      <c r="A219" s="9"/>
      <c r="B219" s="3"/>
      <c r="C219" s="10"/>
      <c r="D219" s="10"/>
      <c r="E219" s="10"/>
      <c r="F219" s="10"/>
      <c r="G219" s="3"/>
      <c r="H219" s="9"/>
      <c r="I219" s="9"/>
      <c r="J219" s="9"/>
      <c r="K219" s="10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3"/>
      <c r="AM219" s="3"/>
      <c r="AN219" s="10"/>
      <c r="AO219" s="3"/>
      <c r="AP219" s="3"/>
      <c r="AQ219" s="3"/>
      <c r="AR219" s="3"/>
      <c r="AS219" s="3"/>
      <c r="AT219" s="3"/>
      <c r="AU219" s="3"/>
      <c r="AV219" s="3"/>
    </row>
    <row r="220" spans="1:48" ht="15.4" x14ac:dyDescent="0.35">
      <c r="A220" s="9"/>
      <c r="B220" s="3"/>
      <c r="C220" s="10"/>
      <c r="D220" s="10"/>
      <c r="E220" s="10"/>
      <c r="F220" s="10"/>
      <c r="G220" s="3"/>
      <c r="H220" s="9"/>
      <c r="I220" s="9"/>
      <c r="J220" s="9"/>
      <c r="K220" s="10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3"/>
      <c r="AM220" s="3"/>
      <c r="AN220" s="10"/>
      <c r="AO220" s="3"/>
      <c r="AP220" s="3"/>
      <c r="AQ220" s="3"/>
      <c r="AR220" s="3"/>
      <c r="AS220" s="3"/>
      <c r="AT220" s="3"/>
      <c r="AU220" s="3"/>
      <c r="AV220" s="3"/>
    </row>
    <row r="221" spans="1:48" ht="15.4" x14ac:dyDescent="0.35">
      <c r="A221" s="9"/>
      <c r="B221" s="3"/>
      <c r="C221" s="10"/>
      <c r="D221" s="10"/>
      <c r="E221" s="10"/>
      <c r="F221" s="10"/>
      <c r="G221" s="3"/>
      <c r="H221" s="9"/>
      <c r="I221" s="9"/>
      <c r="J221" s="9"/>
      <c r="K221" s="10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3"/>
      <c r="AM221" s="3"/>
      <c r="AN221" s="10"/>
      <c r="AO221" s="3"/>
      <c r="AP221" s="3"/>
      <c r="AQ221" s="3"/>
      <c r="AR221" s="3"/>
      <c r="AS221" s="3"/>
      <c r="AT221" s="3"/>
      <c r="AU221" s="3"/>
      <c r="AV221" s="3"/>
    </row>
    <row r="222" spans="1:48" ht="15.4" x14ac:dyDescent="0.35">
      <c r="A222" s="9"/>
      <c r="B222" s="3"/>
      <c r="C222" s="10"/>
      <c r="D222" s="10"/>
      <c r="E222" s="10"/>
      <c r="F222" s="10"/>
      <c r="G222" s="3"/>
      <c r="H222" s="9"/>
      <c r="I222" s="9"/>
      <c r="J222" s="9"/>
      <c r="K222" s="10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3"/>
      <c r="AM222" s="3"/>
      <c r="AN222" s="10"/>
      <c r="AO222" s="3"/>
      <c r="AP222" s="3"/>
      <c r="AQ222" s="3"/>
      <c r="AR222" s="3"/>
      <c r="AS222" s="3"/>
      <c r="AT222" s="3"/>
      <c r="AU222" s="3"/>
      <c r="AV222" s="3"/>
    </row>
    <row r="223" spans="1:48" ht="15.4" x14ac:dyDescent="0.35">
      <c r="A223" s="9"/>
      <c r="B223" s="3"/>
      <c r="C223" s="10"/>
      <c r="D223" s="10"/>
      <c r="E223" s="10"/>
      <c r="F223" s="10"/>
      <c r="G223" s="3"/>
      <c r="H223" s="9"/>
      <c r="I223" s="9"/>
      <c r="J223" s="9"/>
      <c r="K223" s="10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3"/>
      <c r="AM223" s="3"/>
      <c r="AN223" s="10"/>
      <c r="AO223" s="3"/>
      <c r="AP223" s="3"/>
      <c r="AQ223" s="3"/>
      <c r="AR223" s="3"/>
      <c r="AS223" s="3"/>
      <c r="AT223" s="3"/>
      <c r="AU223" s="3"/>
      <c r="AV223" s="3"/>
    </row>
    <row r="224" spans="1:48" ht="15.4" x14ac:dyDescent="0.35">
      <c r="A224" s="9"/>
      <c r="B224" s="3"/>
      <c r="C224" s="10"/>
      <c r="D224" s="10"/>
      <c r="E224" s="10"/>
      <c r="F224" s="10"/>
      <c r="G224" s="3"/>
      <c r="H224" s="9"/>
      <c r="I224" s="9"/>
      <c r="J224" s="9"/>
      <c r="K224" s="10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3"/>
      <c r="AM224" s="3"/>
      <c r="AN224" s="10"/>
      <c r="AO224" s="3"/>
      <c r="AP224" s="3"/>
      <c r="AQ224" s="3"/>
      <c r="AR224" s="3"/>
      <c r="AS224" s="3"/>
      <c r="AT224" s="3"/>
      <c r="AU224" s="3"/>
      <c r="AV224" s="3"/>
    </row>
    <row r="225" spans="1:48" ht="15.4" x14ac:dyDescent="0.35">
      <c r="A225" s="9"/>
      <c r="B225" s="3"/>
      <c r="C225" s="10"/>
      <c r="D225" s="10"/>
      <c r="E225" s="10"/>
      <c r="F225" s="10"/>
      <c r="G225" s="3"/>
      <c r="H225" s="9"/>
      <c r="I225" s="9"/>
      <c r="J225" s="9"/>
      <c r="K225" s="10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3"/>
      <c r="AM225" s="3"/>
      <c r="AN225" s="10"/>
      <c r="AO225" s="3"/>
      <c r="AP225" s="3"/>
      <c r="AQ225" s="3"/>
      <c r="AR225" s="3"/>
      <c r="AS225" s="3"/>
      <c r="AT225" s="3"/>
      <c r="AU225" s="3"/>
      <c r="AV225" s="3"/>
    </row>
    <row r="226" spans="1:48" ht="15.4" x14ac:dyDescent="0.35">
      <c r="A226" s="9"/>
      <c r="B226" s="3"/>
      <c r="C226" s="10"/>
      <c r="D226" s="10"/>
      <c r="E226" s="10"/>
      <c r="F226" s="10"/>
      <c r="G226" s="3"/>
      <c r="H226" s="9"/>
      <c r="I226" s="9"/>
      <c r="J226" s="9"/>
      <c r="K226" s="10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3"/>
      <c r="AM226" s="3"/>
      <c r="AN226" s="10"/>
      <c r="AO226" s="3"/>
      <c r="AP226" s="3"/>
      <c r="AQ226" s="3"/>
      <c r="AR226" s="3"/>
      <c r="AS226" s="3"/>
      <c r="AT226" s="3"/>
      <c r="AU226" s="3"/>
      <c r="AV226" s="3"/>
    </row>
    <row r="227" spans="1:48" ht="15.4" x14ac:dyDescent="0.35">
      <c r="A227" s="9"/>
      <c r="B227" s="3"/>
      <c r="C227" s="10"/>
      <c r="D227" s="10"/>
      <c r="E227" s="10"/>
      <c r="F227" s="10"/>
      <c r="G227" s="3"/>
      <c r="H227" s="9"/>
      <c r="I227" s="9"/>
      <c r="J227" s="9"/>
      <c r="K227" s="10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3"/>
      <c r="AM227" s="3"/>
      <c r="AN227" s="10"/>
      <c r="AO227" s="3"/>
      <c r="AP227" s="3"/>
      <c r="AQ227" s="3"/>
      <c r="AR227" s="3"/>
      <c r="AS227" s="3"/>
      <c r="AT227" s="3"/>
      <c r="AU227" s="3"/>
      <c r="AV227" s="3"/>
    </row>
    <row r="228" spans="1:48" ht="15.4" x14ac:dyDescent="0.35">
      <c r="A228" s="9"/>
      <c r="B228" s="3"/>
      <c r="C228" s="10"/>
      <c r="D228" s="10"/>
      <c r="E228" s="10"/>
      <c r="F228" s="10"/>
      <c r="G228" s="3"/>
      <c r="H228" s="9"/>
      <c r="I228" s="9"/>
      <c r="J228" s="9"/>
      <c r="K228" s="10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3"/>
      <c r="AM228" s="3"/>
      <c r="AN228" s="10"/>
      <c r="AO228" s="3"/>
      <c r="AP228" s="3"/>
      <c r="AQ228" s="3"/>
      <c r="AR228" s="3"/>
      <c r="AS228" s="3"/>
      <c r="AT228" s="3"/>
      <c r="AU228" s="3"/>
      <c r="AV228" s="3"/>
    </row>
    <row r="229" spans="1:48" ht="15.4" x14ac:dyDescent="0.35">
      <c r="A229" s="9"/>
      <c r="B229" s="3"/>
      <c r="C229" s="10"/>
      <c r="D229" s="10"/>
      <c r="E229" s="10"/>
      <c r="F229" s="10"/>
      <c r="G229" s="3"/>
      <c r="H229" s="9"/>
      <c r="I229" s="9"/>
      <c r="J229" s="9"/>
      <c r="K229" s="10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3"/>
      <c r="AM229" s="3"/>
      <c r="AN229" s="10"/>
      <c r="AO229" s="3"/>
      <c r="AP229" s="3"/>
      <c r="AQ229" s="3"/>
      <c r="AR229" s="3"/>
      <c r="AS229" s="3"/>
      <c r="AT229" s="3"/>
      <c r="AU229" s="3"/>
      <c r="AV229" s="3"/>
    </row>
    <row r="230" spans="1:48" ht="15.4" x14ac:dyDescent="0.35">
      <c r="A230" s="9"/>
      <c r="B230" s="3"/>
      <c r="C230" s="10"/>
      <c r="D230" s="10"/>
      <c r="E230" s="10"/>
      <c r="F230" s="10"/>
      <c r="G230" s="3"/>
      <c r="H230" s="9"/>
      <c r="I230" s="9"/>
      <c r="J230" s="9"/>
      <c r="K230" s="10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3"/>
      <c r="AM230" s="3"/>
      <c r="AN230" s="10"/>
      <c r="AO230" s="3"/>
      <c r="AP230" s="3"/>
      <c r="AQ230" s="3"/>
      <c r="AR230" s="3"/>
      <c r="AS230" s="3"/>
      <c r="AT230" s="3"/>
      <c r="AU230" s="3"/>
      <c r="AV230" s="3"/>
    </row>
    <row r="231" spans="1:48" ht="15.4" x14ac:dyDescent="0.35">
      <c r="A231" s="9"/>
      <c r="B231" s="3"/>
      <c r="C231" s="10"/>
      <c r="D231" s="10"/>
      <c r="E231" s="10"/>
      <c r="F231" s="10"/>
      <c r="G231" s="3"/>
      <c r="H231" s="9"/>
      <c r="I231" s="9"/>
      <c r="J231" s="9"/>
      <c r="K231" s="10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3"/>
      <c r="AM231" s="3"/>
      <c r="AN231" s="10"/>
      <c r="AO231" s="3"/>
      <c r="AP231" s="3"/>
      <c r="AQ231" s="3"/>
      <c r="AR231" s="3"/>
      <c r="AS231" s="3"/>
      <c r="AT231" s="3"/>
      <c r="AU231" s="3"/>
      <c r="AV231" s="3"/>
    </row>
    <row r="232" spans="1:48" ht="15.4" x14ac:dyDescent="0.35">
      <c r="A232" s="9"/>
      <c r="B232" s="3"/>
      <c r="C232" s="10"/>
      <c r="D232" s="10"/>
      <c r="E232" s="10"/>
      <c r="F232" s="10"/>
      <c r="G232" s="3"/>
      <c r="H232" s="9"/>
      <c r="I232" s="9"/>
      <c r="J232" s="9"/>
      <c r="K232" s="10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3"/>
      <c r="AM232" s="3"/>
      <c r="AN232" s="10"/>
      <c r="AO232" s="3"/>
      <c r="AP232" s="3"/>
      <c r="AQ232" s="3"/>
      <c r="AR232" s="3"/>
      <c r="AS232" s="3"/>
      <c r="AT232" s="3"/>
      <c r="AU232" s="3"/>
      <c r="AV232" s="3"/>
    </row>
    <row r="233" spans="1:48" ht="15.4" x14ac:dyDescent="0.35">
      <c r="A233" s="9"/>
      <c r="B233" s="3"/>
      <c r="C233" s="10"/>
      <c r="D233" s="10"/>
      <c r="E233" s="10"/>
      <c r="F233" s="10"/>
      <c r="G233" s="3"/>
      <c r="H233" s="9"/>
      <c r="I233" s="9"/>
      <c r="J233" s="9"/>
      <c r="K233" s="10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3"/>
      <c r="AM233" s="3"/>
      <c r="AN233" s="10"/>
      <c r="AO233" s="3"/>
      <c r="AP233" s="3"/>
      <c r="AQ233" s="3"/>
      <c r="AR233" s="3"/>
      <c r="AS233" s="3"/>
      <c r="AT233" s="3"/>
      <c r="AU233" s="3"/>
      <c r="AV233" s="3"/>
    </row>
    <row r="234" spans="1:48" ht="15.4" x14ac:dyDescent="0.35">
      <c r="A234" s="9"/>
      <c r="B234" s="3"/>
      <c r="C234" s="10"/>
      <c r="D234" s="10"/>
      <c r="E234" s="10"/>
      <c r="F234" s="10"/>
      <c r="G234" s="3"/>
      <c r="H234" s="9"/>
      <c r="I234" s="9"/>
      <c r="J234" s="9"/>
      <c r="K234" s="10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3"/>
      <c r="AM234" s="3"/>
      <c r="AN234" s="10"/>
      <c r="AO234" s="3"/>
      <c r="AP234" s="3"/>
      <c r="AQ234" s="3"/>
      <c r="AR234" s="3"/>
      <c r="AS234" s="3"/>
      <c r="AT234" s="3"/>
      <c r="AU234" s="3"/>
      <c r="AV234" s="3"/>
    </row>
    <row r="235" spans="1:48" ht="15.4" x14ac:dyDescent="0.35">
      <c r="A235" s="9"/>
      <c r="B235" s="3"/>
      <c r="C235" s="10"/>
      <c r="D235" s="10"/>
      <c r="E235" s="10"/>
      <c r="F235" s="10"/>
      <c r="G235" s="3"/>
      <c r="H235" s="9"/>
      <c r="I235" s="9"/>
      <c r="J235" s="9"/>
      <c r="K235" s="10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3"/>
      <c r="AM235" s="3"/>
      <c r="AN235" s="10"/>
      <c r="AO235" s="3"/>
      <c r="AP235" s="3"/>
      <c r="AQ235" s="3"/>
      <c r="AR235" s="3"/>
      <c r="AS235" s="3"/>
      <c r="AT235" s="3"/>
      <c r="AU235" s="3"/>
      <c r="AV235" s="3"/>
    </row>
    <row r="236" spans="1:48" ht="15.4" x14ac:dyDescent="0.35">
      <c r="A236" s="9"/>
      <c r="B236" s="3"/>
      <c r="C236" s="10"/>
      <c r="D236" s="10"/>
      <c r="E236" s="10"/>
      <c r="F236" s="10"/>
      <c r="G236" s="3"/>
      <c r="H236" s="9"/>
      <c r="I236" s="9"/>
      <c r="J236" s="9"/>
      <c r="K236" s="10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3"/>
      <c r="AM236" s="3"/>
      <c r="AN236" s="10"/>
      <c r="AO236" s="3"/>
      <c r="AP236" s="3"/>
      <c r="AQ236" s="3"/>
      <c r="AR236" s="3"/>
      <c r="AS236" s="3"/>
      <c r="AT236" s="3"/>
      <c r="AU236" s="3"/>
      <c r="AV236" s="3"/>
    </row>
    <row r="237" spans="1:48" ht="15.4" x14ac:dyDescent="0.35">
      <c r="A237" s="9"/>
      <c r="B237" s="3"/>
      <c r="C237" s="10"/>
      <c r="D237" s="10"/>
      <c r="E237" s="10"/>
      <c r="F237" s="10"/>
      <c r="G237" s="3"/>
      <c r="H237" s="9"/>
      <c r="I237" s="9"/>
      <c r="J237" s="9"/>
      <c r="K237" s="10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3"/>
      <c r="AM237" s="3"/>
      <c r="AN237" s="10"/>
      <c r="AO237" s="3"/>
      <c r="AP237" s="3"/>
      <c r="AQ237" s="3"/>
      <c r="AR237" s="3"/>
      <c r="AS237" s="3"/>
      <c r="AT237" s="3"/>
      <c r="AU237" s="3"/>
      <c r="AV237" s="3"/>
    </row>
    <row r="238" spans="1:48" ht="15.4" x14ac:dyDescent="0.35">
      <c r="A238" s="9"/>
      <c r="B238" s="3"/>
      <c r="C238" s="10"/>
      <c r="D238" s="10"/>
      <c r="E238" s="10"/>
      <c r="F238" s="10"/>
      <c r="G238" s="3"/>
      <c r="H238" s="9"/>
      <c r="I238" s="9"/>
      <c r="J238" s="9"/>
      <c r="K238" s="10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3"/>
      <c r="AM238" s="3"/>
      <c r="AN238" s="10"/>
      <c r="AO238" s="3"/>
      <c r="AP238" s="3"/>
      <c r="AQ238" s="3"/>
      <c r="AR238" s="3"/>
      <c r="AS238" s="3"/>
      <c r="AT238" s="3"/>
      <c r="AU238" s="3"/>
      <c r="AV238" s="3"/>
    </row>
    <row r="239" spans="1:48" ht="15.4" x14ac:dyDescent="0.35">
      <c r="A239" s="9"/>
      <c r="B239" s="3"/>
      <c r="C239" s="10"/>
      <c r="D239" s="10"/>
      <c r="E239" s="10"/>
      <c r="F239" s="10"/>
      <c r="G239" s="3"/>
      <c r="H239" s="9"/>
      <c r="I239" s="9"/>
      <c r="J239" s="9"/>
      <c r="K239" s="10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3"/>
      <c r="AM239" s="3"/>
      <c r="AN239" s="10"/>
      <c r="AO239" s="3"/>
      <c r="AP239" s="3"/>
      <c r="AQ239" s="3"/>
      <c r="AR239" s="3"/>
      <c r="AS239" s="3"/>
      <c r="AT239" s="3"/>
      <c r="AU239" s="3"/>
      <c r="AV239" s="3"/>
    </row>
    <row r="240" spans="1:48" ht="15.4" x14ac:dyDescent="0.35">
      <c r="A240" s="9"/>
      <c r="B240" s="3"/>
      <c r="C240" s="10"/>
      <c r="D240" s="10"/>
      <c r="E240" s="10"/>
      <c r="F240" s="10"/>
      <c r="G240" s="3"/>
      <c r="H240" s="9"/>
      <c r="I240" s="9"/>
      <c r="J240" s="9"/>
      <c r="K240" s="10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3"/>
      <c r="AM240" s="3"/>
      <c r="AN240" s="10"/>
      <c r="AO240" s="3"/>
      <c r="AP240" s="3"/>
      <c r="AQ240" s="3"/>
      <c r="AR240" s="3"/>
      <c r="AS240" s="3"/>
      <c r="AT240" s="3"/>
      <c r="AU240" s="3"/>
      <c r="AV240" s="3"/>
    </row>
    <row r="241" spans="1:48" ht="15.4" x14ac:dyDescent="0.35">
      <c r="A241" s="9"/>
      <c r="B241" s="3"/>
      <c r="C241" s="10"/>
      <c r="D241" s="10"/>
      <c r="E241" s="10"/>
      <c r="F241" s="10"/>
      <c r="G241" s="3"/>
      <c r="H241" s="9"/>
      <c r="I241" s="9"/>
      <c r="J241" s="9"/>
      <c r="K241" s="10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3"/>
      <c r="AM241" s="3"/>
      <c r="AN241" s="10"/>
      <c r="AO241" s="3"/>
      <c r="AP241" s="3"/>
      <c r="AQ241" s="3"/>
      <c r="AR241" s="3"/>
      <c r="AS241" s="3"/>
      <c r="AT241" s="3"/>
      <c r="AU241" s="3"/>
      <c r="AV241" s="3"/>
    </row>
    <row r="242" spans="1:48" ht="15.4" x14ac:dyDescent="0.35">
      <c r="A242" s="9"/>
      <c r="B242" s="3"/>
      <c r="C242" s="10"/>
      <c r="D242" s="10"/>
      <c r="E242" s="10"/>
      <c r="F242" s="10"/>
      <c r="G242" s="3"/>
      <c r="H242" s="9"/>
      <c r="I242" s="9"/>
      <c r="J242" s="9"/>
      <c r="K242" s="10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3"/>
      <c r="AM242" s="3"/>
      <c r="AN242" s="10"/>
      <c r="AO242" s="3"/>
      <c r="AP242" s="3"/>
      <c r="AQ242" s="3"/>
      <c r="AR242" s="3"/>
      <c r="AS242" s="3"/>
      <c r="AT242" s="3"/>
      <c r="AU242" s="3"/>
      <c r="AV242" s="3"/>
    </row>
    <row r="243" spans="1:48" ht="15.4" x14ac:dyDescent="0.35">
      <c r="A243" s="9"/>
      <c r="B243" s="3"/>
      <c r="C243" s="10"/>
      <c r="D243" s="10"/>
      <c r="E243" s="10"/>
      <c r="F243" s="10"/>
      <c r="G243" s="3"/>
      <c r="H243" s="9"/>
      <c r="I243" s="9"/>
      <c r="J243" s="9"/>
      <c r="K243" s="10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3"/>
      <c r="AM243" s="3"/>
      <c r="AN243" s="10"/>
      <c r="AO243" s="3"/>
      <c r="AP243" s="3"/>
      <c r="AQ243" s="3"/>
      <c r="AR243" s="3"/>
      <c r="AS243" s="3"/>
      <c r="AT243" s="3"/>
      <c r="AU243" s="3"/>
      <c r="AV243" s="3"/>
    </row>
    <row r="244" spans="1:48" ht="15.4" x14ac:dyDescent="0.35">
      <c r="A244" s="9"/>
      <c r="B244" s="3"/>
      <c r="C244" s="10"/>
      <c r="D244" s="10"/>
      <c r="E244" s="10"/>
      <c r="F244" s="10"/>
      <c r="G244" s="3"/>
      <c r="H244" s="9"/>
      <c r="I244" s="9"/>
      <c r="J244" s="9"/>
      <c r="K244" s="10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3"/>
      <c r="AM244" s="3"/>
      <c r="AN244" s="10"/>
      <c r="AO244" s="3"/>
      <c r="AP244" s="3"/>
      <c r="AQ244" s="3"/>
      <c r="AR244" s="3"/>
      <c r="AS244" s="3"/>
      <c r="AT244" s="3"/>
      <c r="AU244" s="3"/>
      <c r="AV244" s="3"/>
    </row>
    <row r="245" spans="1:48" ht="15.4" x14ac:dyDescent="0.35">
      <c r="A245" s="9"/>
      <c r="B245" s="3"/>
      <c r="C245" s="10"/>
      <c r="D245" s="10"/>
      <c r="E245" s="10"/>
      <c r="F245" s="10"/>
      <c r="G245" s="3"/>
      <c r="H245" s="9"/>
      <c r="I245" s="9"/>
      <c r="J245" s="9"/>
      <c r="K245" s="10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3"/>
      <c r="AM245" s="3"/>
      <c r="AN245" s="10"/>
      <c r="AO245" s="3"/>
      <c r="AP245" s="3"/>
      <c r="AQ245" s="3"/>
      <c r="AR245" s="3"/>
      <c r="AS245" s="3"/>
      <c r="AT245" s="3"/>
      <c r="AU245" s="3"/>
      <c r="AV245" s="3"/>
    </row>
    <row r="246" spans="1:48" ht="15.4" x14ac:dyDescent="0.35">
      <c r="A246" s="9"/>
      <c r="B246" s="3"/>
      <c r="C246" s="10"/>
      <c r="D246" s="10"/>
      <c r="E246" s="10"/>
      <c r="F246" s="10"/>
      <c r="G246" s="3"/>
      <c r="H246" s="9"/>
      <c r="I246" s="9"/>
      <c r="J246" s="9"/>
      <c r="K246" s="10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3"/>
      <c r="AM246" s="3"/>
      <c r="AN246" s="10"/>
      <c r="AO246" s="3"/>
      <c r="AP246" s="3"/>
      <c r="AQ246" s="3"/>
      <c r="AR246" s="3"/>
      <c r="AS246" s="3"/>
      <c r="AT246" s="3"/>
      <c r="AU246" s="3"/>
      <c r="AV246" s="3"/>
    </row>
    <row r="247" spans="1:48" ht="15.4" x14ac:dyDescent="0.35">
      <c r="A247" s="9"/>
      <c r="B247" s="3"/>
      <c r="C247" s="10"/>
      <c r="D247" s="10"/>
      <c r="E247" s="10"/>
      <c r="F247" s="10"/>
      <c r="G247" s="3"/>
      <c r="H247" s="9"/>
      <c r="I247" s="9"/>
      <c r="J247" s="9"/>
      <c r="K247" s="10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3"/>
      <c r="AM247" s="3"/>
      <c r="AN247" s="10"/>
      <c r="AO247" s="3"/>
      <c r="AP247" s="3"/>
      <c r="AQ247" s="3"/>
      <c r="AR247" s="3"/>
      <c r="AS247" s="3"/>
      <c r="AT247" s="3"/>
      <c r="AU247" s="3"/>
      <c r="AV247" s="3"/>
    </row>
    <row r="248" spans="1:48" ht="15.4" x14ac:dyDescent="0.35">
      <c r="A248" s="9"/>
      <c r="B248" s="3"/>
      <c r="C248" s="10"/>
      <c r="D248" s="10"/>
      <c r="E248" s="10"/>
      <c r="F248" s="10"/>
      <c r="G248" s="3"/>
      <c r="H248" s="9"/>
      <c r="I248" s="9"/>
      <c r="J248" s="9"/>
      <c r="K248" s="10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3"/>
      <c r="AM248" s="3"/>
      <c r="AN248" s="10"/>
      <c r="AO248" s="3"/>
      <c r="AP248" s="3"/>
      <c r="AQ248" s="3"/>
      <c r="AR248" s="3"/>
      <c r="AS248" s="3"/>
      <c r="AT248" s="3"/>
      <c r="AU248" s="3"/>
      <c r="AV248" s="3"/>
    </row>
    <row r="249" spans="1:48" ht="15.4" x14ac:dyDescent="0.35">
      <c r="A249" s="9"/>
      <c r="B249" s="3"/>
      <c r="C249" s="10"/>
      <c r="D249" s="10"/>
      <c r="E249" s="10"/>
      <c r="F249" s="10"/>
      <c r="G249" s="3"/>
      <c r="H249" s="9"/>
      <c r="I249" s="9"/>
      <c r="J249" s="9"/>
      <c r="K249" s="10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3"/>
      <c r="AM249" s="3"/>
      <c r="AN249" s="10"/>
      <c r="AO249" s="3"/>
      <c r="AP249" s="3"/>
      <c r="AQ249" s="3"/>
      <c r="AR249" s="3"/>
      <c r="AS249" s="3"/>
      <c r="AT249" s="3"/>
      <c r="AU249" s="3"/>
      <c r="AV249" s="3"/>
    </row>
    <row r="250" spans="1:48" ht="15.4" x14ac:dyDescent="0.35">
      <c r="A250" s="9"/>
      <c r="B250" s="3"/>
      <c r="C250" s="10"/>
      <c r="D250" s="10"/>
      <c r="E250" s="10"/>
      <c r="F250" s="10"/>
      <c r="G250" s="3"/>
      <c r="H250" s="9"/>
      <c r="I250" s="9"/>
      <c r="J250" s="9"/>
      <c r="K250" s="10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3"/>
      <c r="AM250" s="3"/>
      <c r="AN250" s="10"/>
      <c r="AO250" s="3"/>
      <c r="AP250" s="3"/>
      <c r="AQ250" s="3"/>
      <c r="AR250" s="3"/>
      <c r="AS250" s="3"/>
      <c r="AT250" s="3"/>
      <c r="AU250" s="3"/>
      <c r="AV250" s="3"/>
    </row>
    <row r="251" spans="1:48" ht="15.4" x14ac:dyDescent="0.35">
      <c r="A251" s="9"/>
      <c r="B251" s="3"/>
      <c r="C251" s="10"/>
      <c r="D251" s="10"/>
      <c r="E251" s="10"/>
      <c r="F251" s="10"/>
      <c r="G251" s="3"/>
      <c r="H251" s="9"/>
      <c r="I251" s="9"/>
      <c r="J251" s="9"/>
      <c r="K251" s="10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3"/>
      <c r="AM251" s="3"/>
      <c r="AN251" s="10"/>
      <c r="AO251" s="3"/>
      <c r="AP251" s="3"/>
      <c r="AQ251" s="3"/>
      <c r="AR251" s="3"/>
      <c r="AS251" s="3"/>
      <c r="AT251" s="3"/>
      <c r="AU251" s="3"/>
      <c r="AV251" s="3"/>
    </row>
    <row r="252" spans="1:48" ht="15.4" x14ac:dyDescent="0.35">
      <c r="A252" s="9"/>
      <c r="B252" s="3"/>
      <c r="C252" s="10"/>
      <c r="D252" s="10"/>
      <c r="E252" s="10"/>
      <c r="F252" s="10"/>
      <c r="G252" s="3"/>
      <c r="H252" s="9"/>
      <c r="I252" s="9"/>
      <c r="J252" s="9"/>
      <c r="K252" s="10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3"/>
      <c r="AM252" s="3"/>
      <c r="AN252" s="10"/>
      <c r="AO252" s="3"/>
      <c r="AP252" s="3"/>
      <c r="AQ252" s="3"/>
      <c r="AR252" s="3"/>
      <c r="AS252" s="3"/>
      <c r="AT252" s="3"/>
      <c r="AU252" s="3"/>
      <c r="AV252" s="3"/>
    </row>
    <row r="253" spans="1:48" ht="15.4" x14ac:dyDescent="0.35">
      <c r="A253" s="9"/>
      <c r="B253" s="3"/>
      <c r="C253" s="10"/>
      <c r="D253" s="10"/>
      <c r="E253" s="10"/>
      <c r="F253" s="10"/>
      <c r="G253" s="3"/>
      <c r="H253" s="9"/>
      <c r="I253" s="9"/>
      <c r="J253" s="9"/>
      <c r="K253" s="10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3"/>
      <c r="AM253" s="3"/>
      <c r="AN253" s="10"/>
      <c r="AO253" s="3"/>
      <c r="AP253" s="3"/>
      <c r="AQ253" s="3"/>
      <c r="AR253" s="3"/>
      <c r="AS253" s="3"/>
      <c r="AT253" s="3"/>
      <c r="AU253" s="3"/>
      <c r="AV253" s="3"/>
    </row>
    <row r="254" spans="1:48" ht="15.4" x14ac:dyDescent="0.35">
      <c r="A254" s="9"/>
      <c r="B254" s="3"/>
      <c r="C254" s="10"/>
      <c r="D254" s="10"/>
      <c r="E254" s="10"/>
      <c r="F254" s="10"/>
      <c r="G254" s="3"/>
      <c r="H254" s="9"/>
      <c r="I254" s="9"/>
      <c r="J254" s="9"/>
      <c r="K254" s="10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3"/>
      <c r="AM254" s="3"/>
      <c r="AN254" s="10"/>
      <c r="AO254" s="3"/>
      <c r="AP254" s="3"/>
      <c r="AQ254" s="3"/>
      <c r="AR254" s="3"/>
      <c r="AS254" s="3"/>
      <c r="AT254" s="3"/>
      <c r="AU254" s="3"/>
      <c r="AV254" s="3"/>
    </row>
    <row r="255" spans="1:48" ht="15.4" x14ac:dyDescent="0.35">
      <c r="A255" s="9"/>
      <c r="B255" s="3"/>
      <c r="C255" s="10"/>
      <c r="D255" s="10"/>
      <c r="E255" s="10"/>
      <c r="F255" s="10"/>
      <c r="G255" s="3"/>
      <c r="H255" s="9"/>
      <c r="I255" s="9"/>
      <c r="J255" s="9"/>
      <c r="K255" s="10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3"/>
      <c r="AM255" s="3"/>
      <c r="AN255" s="10"/>
      <c r="AO255" s="3"/>
      <c r="AP255" s="3"/>
      <c r="AQ255" s="3"/>
      <c r="AR255" s="3"/>
      <c r="AS255" s="3"/>
      <c r="AT255" s="3"/>
      <c r="AU255" s="3"/>
      <c r="AV255" s="3"/>
    </row>
    <row r="256" spans="1:48" ht="15.4" x14ac:dyDescent="0.35">
      <c r="A256" s="9"/>
      <c r="B256" s="3"/>
      <c r="C256" s="10"/>
      <c r="D256" s="10"/>
      <c r="E256" s="10"/>
      <c r="F256" s="10"/>
      <c r="G256" s="3"/>
      <c r="H256" s="9"/>
      <c r="I256" s="9"/>
      <c r="J256" s="9"/>
      <c r="K256" s="10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3"/>
      <c r="AM256" s="3"/>
      <c r="AN256" s="10"/>
      <c r="AO256" s="3"/>
      <c r="AP256" s="3"/>
      <c r="AQ256" s="3"/>
      <c r="AR256" s="3"/>
      <c r="AS256" s="3"/>
      <c r="AT256" s="3"/>
      <c r="AU256" s="3"/>
      <c r="AV256" s="3"/>
    </row>
    <row r="257" spans="1:48" ht="15.4" x14ac:dyDescent="0.35">
      <c r="A257" s="9"/>
      <c r="B257" s="3"/>
      <c r="C257" s="10"/>
      <c r="D257" s="10"/>
      <c r="E257" s="10"/>
      <c r="F257" s="10"/>
      <c r="G257" s="3"/>
      <c r="H257" s="9"/>
      <c r="I257" s="9"/>
      <c r="J257" s="9"/>
      <c r="K257" s="10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3"/>
      <c r="AM257" s="3"/>
      <c r="AN257" s="10"/>
      <c r="AO257" s="3"/>
      <c r="AP257" s="3"/>
      <c r="AQ257" s="3"/>
      <c r="AR257" s="3"/>
      <c r="AS257" s="3"/>
      <c r="AT257" s="3"/>
      <c r="AU257" s="3"/>
      <c r="AV257" s="3"/>
    </row>
    <row r="258" spans="1:48" ht="15.4" x14ac:dyDescent="0.35">
      <c r="A258" s="9"/>
      <c r="B258" s="3"/>
      <c r="C258" s="10"/>
      <c r="D258" s="10"/>
      <c r="E258" s="10"/>
      <c r="F258" s="10"/>
      <c r="G258" s="3"/>
      <c r="H258" s="9"/>
      <c r="I258" s="9"/>
      <c r="J258" s="9"/>
      <c r="K258" s="10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3"/>
      <c r="AM258" s="3"/>
      <c r="AN258" s="10"/>
      <c r="AO258" s="3"/>
      <c r="AP258" s="3"/>
      <c r="AQ258" s="3"/>
      <c r="AR258" s="3"/>
      <c r="AS258" s="3"/>
      <c r="AT258" s="3"/>
      <c r="AU258" s="3"/>
      <c r="AV258" s="3"/>
    </row>
    <row r="259" spans="1:48" ht="15.4" x14ac:dyDescent="0.35">
      <c r="A259" s="9"/>
      <c r="B259" s="3"/>
      <c r="C259" s="10"/>
      <c r="D259" s="10"/>
      <c r="E259" s="10"/>
      <c r="F259" s="10"/>
      <c r="G259" s="3"/>
      <c r="H259" s="9"/>
      <c r="I259" s="9"/>
      <c r="J259" s="9"/>
      <c r="K259" s="10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3"/>
      <c r="AM259" s="3"/>
      <c r="AN259" s="10"/>
      <c r="AO259" s="3"/>
      <c r="AP259" s="3"/>
      <c r="AQ259" s="3"/>
      <c r="AR259" s="3"/>
      <c r="AS259" s="3"/>
      <c r="AT259" s="3"/>
      <c r="AU259" s="3"/>
      <c r="AV259" s="3"/>
    </row>
    <row r="260" spans="1:48" ht="15.4" x14ac:dyDescent="0.35">
      <c r="A260" s="9"/>
      <c r="B260" s="3"/>
      <c r="C260" s="10"/>
      <c r="D260" s="10"/>
      <c r="E260" s="10"/>
      <c r="F260" s="10"/>
      <c r="G260" s="3"/>
      <c r="H260" s="9"/>
      <c r="I260" s="9"/>
      <c r="J260" s="9"/>
      <c r="K260" s="10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3"/>
      <c r="AM260" s="3"/>
      <c r="AN260" s="10"/>
      <c r="AO260" s="3"/>
      <c r="AP260" s="3"/>
      <c r="AQ260" s="3"/>
      <c r="AR260" s="3"/>
      <c r="AS260" s="3"/>
      <c r="AT260" s="3"/>
      <c r="AU260" s="3"/>
      <c r="AV260" s="3"/>
    </row>
    <row r="261" spans="1:48" ht="15.4" x14ac:dyDescent="0.35">
      <c r="A261" s="9"/>
      <c r="B261" s="3"/>
      <c r="C261" s="10"/>
      <c r="D261" s="10"/>
      <c r="E261" s="10"/>
      <c r="F261" s="10"/>
      <c r="G261" s="3"/>
      <c r="H261" s="9"/>
      <c r="I261" s="9"/>
      <c r="J261" s="9"/>
      <c r="K261" s="10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3"/>
      <c r="AM261" s="3"/>
      <c r="AN261" s="10"/>
      <c r="AO261" s="3"/>
      <c r="AP261" s="3"/>
      <c r="AQ261" s="3"/>
      <c r="AR261" s="3"/>
      <c r="AS261" s="3"/>
      <c r="AT261" s="3"/>
      <c r="AU261" s="3"/>
      <c r="AV261" s="3"/>
    </row>
    <row r="262" spans="1:48" ht="15.4" x14ac:dyDescent="0.35">
      <c r="A262" s="9"/>
      <c r="B262" s="3"/>
      <c r="C262" s="10"/>
      <c r="D262" s="10"/>
      <c r="E262" s="10"/>
      <c r="F262" s="10"/>
      <c r="G262" s="3"/>
      <c r="H262" s="9"/>
      <c r="I262" s="9"/>
      <c r="J262" s="9"/>
      <c r="K262" s="10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3"/>
      <c r="AM262" s="3"/>
      <c r="AN262" s="10"/>
      <c r="AO262" s="3"/>
      <c r="AP262" s="3"/>
      <c r="AQ262" s="3"/>
      <c r="AR262" s="3"/>
      <c r="AS262" s="3"/>
      <c r="AT262" s="3"/>
      <c r="AU262" s="3"/>
      <c r="AV262" s="3"/>
    </row>
    <row r="263" spans="1:48" ht="15.4" x14ac:dyDescent="0.35">
      <c r="A263" s="9"/>
      <c r="B263" s="3"/>
      <c r="C263" s="10"/>
      <c r="D263" s="10"/>
      <c r="E263" s="10"/>
      <c r="F263" s="10"/>
      <c r="G263" s="3"/>
      <c r="H263" s="9"/>
      <c r="I263" s="9"/>
      <c r="J263" s="9"/>
      <c r="K263" s="10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3"/>
      <c r="AM263" s="3"/>
      <c r="AN263" s="10"/>
      <c r="AO263" s="3"/>
      <c r="AP263" s="3"/>
      <c r="AQ263" s="3"/>
      <c r="AR263" s="3"/>
      <c r="AS263" s="3"/>
      <c r="AT263" s="3"/>
      <c r="AU263" s="3"/>
      <c r="AV263" s="3"/>
    </row>
    <row r="264" spans="1:48" ht="15.4" x14ac:dyDescent="0.35">
      <c r="A264" s="9"/>
      <c r="B264" s="3"/>
      <c r="C264" s="10"/>
      <c r="D264" s="10"/>
      <c r="E264" s="10"/>
      <c r="F264" s="10"/>
      <c r="G264" s="3"/>
      <c r="H264" s="9"/>
      <c r="I264" s="9"/>
      <c r="J264" s="9"/>
      <c r="K264" s="10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3"/>
      <c r="AM264" s="3"/>
      <c r="AN264" s="10"/>
      <c r="AO264" s="3"/>
      <c r="AP264" s="3"/>
      <c r="AQ264" s="3"/>
      <c r="AR264" s="3"/>
      <c r="AS264" s="3"/>
      <c r="AT264" s="3"/>
      <c r="AU264" s="3"/>
      <c r="AV264" s="3"/>
    </row>
    <row r="265" spans="1:48" ht="15.4" x14ac:dyDescent="0.35">
      <c r="A265" s="9"/>
      <c r="B265" s="3"/>
      <c r="C265" s="10"/>
      <c r="D265" s="10"/>
      <c r="E265" s="10"/>
      <c r="F265" s="10"/>
      <c r="G265" s="3"/>
      <c r="H265" s="9"/>
      <c r="I265" s="9"/>
      <c r="J265" s="9"/>
      <c r="K265" s="10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3"/>
      <c r="AM265" s="3"/>
      <c r="AN265" s="10"/>
      <c r="AO265" s="3"/>
      <c r="AP265" s="3"/>
      <c r="AQ265" s="3"/>
      <c r="AR265" s="3"/>
      <c r="AS265" s="3"/>
      <c r="AT265" s="3"/>
      <c r="AU265" s="3"/>
      <c r="AV265" s="3"/>
    </row>
    <row r="266" spans="1:48" ht="15.4" x14ac:dyDescent="0.35">
      <c r="A266" s="9"/>
      <c r="B266" s="3"/>
      <c r="C266" s="10"/>
      <c r="D266" s="10"/>
      <c r="E266" s="10"/>
      <c r="F266" s="10"/>
      <c r="G266" s="3"/>
      <c r="H266" s="9"/>
      <c r="I266" s="9"/>
      <c r="J266" s="9"/>
      <c r="K266" s="10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3"/>
      <c r="AM266" s="3"/>
      <c r="AN266" s="10"/>
      <c r="AO266" s="3"/>
      <c r="AP266" s="3"/>
      <c r="AQ266" s="3"/>
      <c r="AR266" s="3"/>
      <c r="AS266" s="3"/>
      <c r="AT266" s="3"/>
      <c r="AU266" s="3"/>
      <c r="AV266" s="3"/>
    </row>
    <row r="267" spans="1:48" ht="15.4" x14ac:dyDescent="0.35">
      <c r="A267" s="9"/>
      <c r="B267" s="3"/>
      <c r="C267" s="10"/>
      <c r="D267" s="10"/>
      <c r="E267" s="10"/>
      <c r="F267" s="10"/>
      <c r="G267" s="3"/>
      <c r="H267" s="9"/>
      <c r="I267" s="9"/>
      <c r="J267" s="9"/>
      <c r="K267" s="10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3"/>
      <c r="AM267" s="3"/>
      <c r="AN267" s="10"/>
      <c r="AO267" s="3"/>
      <c r="AP267" s="3"/>
      <c r="AQ267" s="3"/>
      <c r="AR267" s="3"/>
      <c r="AS267" s="3"/>
      <c r="AT267" s="3"/>
      <c r="AU267" s="3"/>
      <c r="AV267" s="3"/>
    </row>
    <row r="268" spans="1:48" ht="15.4" x14ac:dyDescent="0.35">
      <c r="A268" s="9"/>
      <c r="B268" s="3"/>
      <c r="C268" s="10"/>
      <c r="D268" s="10"/>
      <c r="E268" s="10"/>
      <c r="F268" s="10"/>
      <c r="G268" s="3"/>
      <c r="H268" s="9"/>
      <c r="I268" s="9"/>
      <c r="J268" s="9"/>
      <c r="K268" s="10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3"/>
      <c r="AM268" s="3"/>
      <c r="AN268" s="10"/>
      <c r="AO268" s="3"/>
      <c r="AP268" s="3"/>
      <c r="AQ268" s="3"/>
      <c r="AR268" s="3"/>
      <c r="AS268" s="3"/>
      <c r="AT268" s="3"/>
      <c r="AU268" s="3"/>
      <c r="AV268" s="3"/>
    </row>
    <row r="269" spans="1:48" ht="15.4" x14ac:dyDescent="0.35">
      <c r="A269" s="9"/>
      <c r="B269" s="3"/>
      <c r="C269" s="10"/>
      <c r="D269" s="10"/>
      <c r="E269" s="10"/>
      <c r="F269" s="10"/>
      <c r="G269" s="3"/>
      <c r="H269" s="9"/>
      <c r="I269" s="9"/>
      <c r="J269" s="9"/>
      <c r="K269" s="10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3"/>
      <c r="AM269" s="3"/>
      <c r="AN269" s="10"/>
      <c r="AO269" s="3"/>
      <c r="AP269" s="3"/>
      <c r="AQ269" s="3"/>
      <c r="AR269" s="3"/>
      <c r="AS269" s="3"/>
      <c r="AT269" s="3"/>
      <c r="AU269" s="3"/>
      <c r="AV269" s="3"/>
    </row>
    <row r="270" spans="1:48" ht="15.4" x14ac:dyDescent="0.35">
      <c r="A270" s="9"/>
      <c r="B270" s="3"/>
      <c r="C270" s="10"/>
      <c r="D270" s="10"/>
      <c r="E270" s="10"/>
      <c r="F270" s="10"/>
      <c r="G270" s="3"/>
      <c r="H270" s="9"/>
      <c r="I270" s="9"/>
      <c r="J270" s="9"/>
      <c r="K270" s="10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3"/>
      <c r="AM270" s="3"/>
      <c r="AN270" s="10"/>
      <c r="AO270" s="3"/>
      <c r="AP270" s="3"/>
      <c r="AQ270" s="3"/>
      <c r="AR270" s="3"/>
      <c r="AS270" s="3"/>
      <c r="AT270" s="3"/>
      <c r="AU270" s="3"/>
      <c r="AV270" s="3"/>
    </row>
    <row r="271" spans="1:48" ht="15.4" x14ac:dyDescent="0.35">
      <c r="A271" s="9"/>
      <c r="B271" s="3"/>
      <c r="C271" s="10"/>
      <c r="D271" s="10"/>
      <c r="E271" s="10"/>
      <c r="F271" s="10"/>
      <c r="G271" s="3"/>
      <c r="H271" s="9"/>
      <c r="I271" s="9"/>
      <c r="J271" s="9"/>
      <c r="K271" s="10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3"/>
      <c r="AM271" s="3"/>
      <c r="AN271" s="10"/>
      <c r="AO271" s="3"/>
      <c r="AP271" s="3"/>
      <c r="AQ271" s="3"/>
      <c r="AR271" s="3"/>
      <c r="AS271" s="3"/>
      <c r="AT271" s="3"/>
      <c r="AU271" s="3"/>
      <c r="AV271" s="3"/>
    </row>
    <row r="272" spans="1:48" ht="15.4" x14ac:dyDescent="0.35">
      <c r="A272" s="9"/>
      <c r="B272" s="3"/>
      <c r="C272" s="10"/>
      <c r="D272" s="10"/>
      <c r="E272" s="10"/>
      <c r="F272" s="10"/>
      <c r="G272" s="3"/>
      <c r="H272" s="9"/>
      <c r="I272" s="9"/>
      <c r="J272" s="9"/>
      <c r="K272" s="10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3"/>
      <c r="AM272" s="3"/>
      <c r="AN272" s="10"/>
      <c r="AO272" s="3"/>
      <c r="AP272" s="3"/>
      <c r="AQ272" s="3"/>
      <c r="AR272" s="3"/>
      <c r="AS272" s="3"/>
      <c r="AT272" s="3"/>
      <c r="AU272" s="3"/>
      <c r="AV272" s="3"/>
    </row>
    <row r="273" spans="1:48" ht="15.4" x14ac:dyDescent="0.35">
      <c r="A273" s="9"/>
      <c r="B273" s="3"/>
      <c r="C273" s="10"/>
      <c r="D273" s="10"/>
      <c r="E273" s="10"/>
      <c r="F273" s="10"/>
      <c r="G273" s="3"/>
      <c r="H273" s="9"/>
      <c r="I273" s="9"/>
      <c r="J273" s="9"/>
      <c r="K273" s="10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3"/>
      <c r="AM273" s="3"/>
      <c r="AN273" s="10"/>
      <c r="AO273" s="3"/>
      <c r="AP273" s="3"/>
      <c r="AQ273" s="3"/>
      <c r="AR273" s="3"/>
      <c r="AS273" s="3"/>
      <c r="AT273" s="3"/>
      <c r="AU273" s="3"/>
      <c r="AV273" s="3"/>
    </row>
    <row r="274" spans="1:48" ht="15.4" x14ac:dyDescent="0.35">
      <c r="A274" s="9"/>
      <c r="B274" s="3"/>
      <c r="C274" s="10"/>
      <c r="D274" s="10"/>
      <c r="E274" s="10"/>
      <c r="F274" s="10"/>
      <c r="G274" s="3"/>
      <c r="H274" s="9"/>
      <c r="I274" s="9"/>
      <c r="J274" s="9"/>
      <c r="K274" s="10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3"/>
      <c r="AM274" s="3"/>
      <c r="AN274" s="10"/>
      <c r="AO274" s="3"/>
      <c r="AP274" s="3"/>
      <c r="AQ274" s="3"/>
      <c r="AR274" s="3"/>
      <c r="AS274" s="3"/>
      <c r="AT274" s="3"/>
      <c r="AU274" s="3"/>
      <c r="AV274" s="3"/>
    </row>
    <row r="275" spans="1:48" ht="15.4" x14ac:dyDescent="0.35">
      <c r="A275" s="9"/>
      <c r="B275" s="3"/>
      <c r="C275" s="10"/>
      <c r="D275" s="10"/>
      <c r="E275" s="10"/>
      <c r="F275" s="10"/>
      <c r="G275" s="3"/>
      <c r="H275" s="9"/>
      <c r="I275" s="9"/>
      <c r="J275" s="9"/>
      <c r="K275" s="10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3"/>
      <c r="AM275" s="3"/>
      <c r="AN275" s="10"/>
      <c r="AO275" s="3"/>
      <c r="AP275" s="3"/>
      <c r="AQ275" s="3"/>
      <c r="AR275" s="3"/>
      <c r="AS275" s="3"/>
      <c r="AT275" s="3"/>
      <c r="AU275" s="3"/>
      <c r="AV275" s="3"/>
    </row>
    <row r="276" spans="1:48" ht="15.4" x14ac:dyDescent="0.35">
      <c r="A276" s="9"/>
      <c r="B276" s="3"/>
      <c r="C276" s="10"/>
      <c r="D276" s="10"/>
      <c r="E276" s="10"/>
      <c r="F276" s="10"/>
      <c r="G276" s="3"/>
      <c r="H276" s="9"/>
      <c r="I276" s="9"/>
      <c r="J276" s="9"/>
      <c r="K276" s="10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3"/>
      <c r="AM276" s="3"/>
      <c r="AN276" s="10"/>
      <c r="AO276" s="3"/>
      <c r="AP276" s="3"/>
      <c r="AQ276" s="3"/>
      <c r="AR276" s="3"/>
      <c r="AS276" s="3"/>
      <c r="AT276" s="3"/>
      <c r="AU276" s="3"/>
      <c r="AV276" s="3"/>
    </row>
    <row r="277" spans="1:48" ht="15.4" x14ac:dyDescent="0.35">
      <c r="A277" s="9"/>
      <c r="B277" s="3"/>
      <c r="C277" s="10"/>
      <c r="D277" s="10"/>
      <c r="E277" s="10"/>
      <c r="F277" s="10"/>
      <c r="G277" s="3"/>
      <c r="H277" s="9"/>
      <c r="I277" s="9"/>
      <c r="J277" s="9"/>
      <c r="K277" s="10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3"/>
      <c r="AM277" s="3"/>
      <c r="AN277" s="10"/>
      <c r="AO277" s="3"/>
      <c r="AP277" s="3"/>
      <c r="AQ277" s="3"/>
      <c r="AR277" s="3"/>
      <c r="AS277" s="3"/>
      <c r="AT277" s="3"/>
      <c r="AU277" s="3"/>
      <c r="AV277" s="3"/>
    </row>
    <row r="278" spans="1:48" ht="15.4" x14ac:dyDescent="0.35">
      <c r="A278" s="9"/>
      <c r="B278" s="3"/>
      <c r="C278" s="10"/>
      <c r="D278" s="10"/>
      <c r="E278" s="10"/>
      <c r="F278" s="10"/>
      <c r="G278" s="3"/>
      <c r="H278" s="9"/>
      <c r="I278" s="9"/>
      <c r="J278" s="9"/>
      <c r="K278" s="10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3"/>
      <c r="AM278" s="3"/>
      <c r="AN278" s="10"/>
      <c r="AO278" s="3"/>
      <c r="AP278" s="3"/>
      <c r="AQ278" s="3"/>
      <c r="AR278" s="3"/>
      <c r="AS278" s="3"/>
      <c r="AT278" s="3"/>
      <c r="AU278" s="3"/>
      <c r="AV278" s="3"/>
    </row>
    <row r="279" spans="1:48" ht="15.4" x14ac:dyDescent="0.35">
      <c r="A279" s="9"/>
      <c r="B279" s="3"/>
      <c r="C279" s="10"/>
      <c r="D279" s="10"/>
      <c r="E279" s="10"/>
      <c r="F279" s="10"/>
      <c r="G279" s="3"/>
      <c r="H279" s="9"/>
      <c r="I279" s="9"/>
      <c r="J279" s="9"/>
      <c r="K279" s="10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3"/>
      <c r="AM279" s="3"/>
      <c r="AN279" s="10"/>
      <c r="AO279" s="3"/>
      <c r="AP279" s="3"/>
      <c r="AQ279" s="3"/>
      <c r="AR279" s="3"/>
      <c r="AS279" s="3"/>
      <c r="AT279" s="3"/>
      <c r="AU279" s="3"/>
      <c r="AV279" s="3"/>
    </row>
    <row r="280" spans="1:48" ht="15.4" x14ac:dyDescent="0.35">
      <c r="A280" s="9"/>
      <c r="B280" s="3"/>
      <c r="C280" s="10"/>
      <c r="D280" s="10"/>
      <c r="E280" s="10"/>
      <c r="F280" s="10"/>
      <c r="G280" s="3"/>
      <c r="H280" s="9"/>
      <c r="I280" s="9"/>
      <c r="J280" s="9"/>
      <c r="K280" s="10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3"/>
      <c r="AM280" s="3"/>
      <c r="AN280" s="10"/>
      <c r="AO280" s="3"/>
      <c r="AP280" s="3"/>
      <c r="AQ280" s="3"/>
      <c r="AR280" s="3"/>
      <c r="AS280" s="3"/>
      <c r="AT280" s="3"/>
      <c r="AU280" s="3"/>
      <c r="AV280" s="3"/>
    </row>
    <row r="281" spans="1:48" ht="15.4" x14ac:dyDescent="0.35">
      <c r="A281" s="9"/>
      <c r="B281" s="3"/>
      <c r="C281" s="10"/>
      <c r="D281" s="10"/>
      <c r="E281" s="10"/>
      <c r="F281" s="10"/>
      <c r="G281" s="3"/>
      <c r="H281" s="9"/>
      <c r="I281" s="9"/>
      <c r="J281" s="9"/>
      <c r="K281" s="10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3"/>
      <c r="AM281" s="3"/>
      <c r="AN281" s="10"/>
      <c r="AO281" s="3"/>
      <c r="AP281" s="3"/>
      <c r="AQ281" s="3"/>
      <c r="AR281" s="3"/>
      <c r="AS281" s="3"/>
      <c r="AT281" s="3"/>
      <c r="AU281" s="3"/>
      <c r="AV281" s="3"/>
    </row>
    <row r="282" spans="1:48" ht="15.4" x14ac:dyDescent="0.35">
      <c r="A282" s="9"/>
      <c r="B282" s="3"/>
      <c r="C282" s="10"/>
      <c r="D282" s="10"/>
      <c r="E282" s="10"/>
      <c r="F282" s="10"/>
      <c r="G282" s="3"/>
      <c r="H282" s="9"/>
      <c r="I282" s="9"/>
      <c r="J282" s="9"/>
      <c r="K282" s="10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3"/>
      <c r="AM282" s="3"/>
      <c r="AN282" s="10"/>
      <c r="AO282" s="3"/>
      <c r="AP282" s="3"/>
      <c r="AQ282" s="3"/>
      <c r="AR282" s="3"/>
      <c r="AS282" s="3"/>
      <c r="AT282" s="3"/>
      <c r="AU282" s="3"/>
      <c r="AV282" s="3"/>
    </row>
    <row r="283" spans="1:48" ht="15.4" x14ac:dyDescent="0.35">
      <c r="A283" s="9"/>
      <c r="B283" s="3"/>
      <c r="C283" s="10"/>
      <c r="D283" s="10"/>
      <c r="E283" s="10"/>
      <c r="F283" s="10"/>
      <c r="G283" s="3"/>
      <c r="H283" s="9"/>
      <c r="I283" s="9"/>
      <c r="J283" s="9"/>
      <c r="K283" s="10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3"/>
      <c r="AM283" s="3"/>
      <c r="AN283" s="10"/>
      <c r="AO283" s="3"/>
      <c r="AP283" s="3"/>
      <c r="AQ283" s="3"/>
      <c r="AR283" s="3"/>
      <c r="AS283" s="3"/>
      <c r="AT283" s="3"/>
      <c r="AU283" s="3"/>
      <c r="AV283" s="3"/>
    </row>
    <row r="284" spans="1:48" ht="15.4" x14ac:dyDescent="0.35">
      <c r="A284" s="9"/>
      <c r="B284" s="3"/>
      <c r="C284" s="10"/>
      <c r="D284" s="10"/>
      <c r="E284" s="10"/>
      <c r="F284" s="10"/>
      <c r="G284" s="3"/>
      <c r="H284" s="9"/>
      <c r="I284" s="9"/>
      <c r="J284" s="9"/>
      <c r="K284" s="10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3"/>
      <c r="AM284" s="3"/>
      <c r="AN284" s="10"/>
      <c r="AO284" s="3"/>
      <c r="AP284" s="3"/>
      <c r="AQ284" s="3"/>
      <c r="AR284" s="3"/>
      <c r="AS284" s="3"/>
      <c r="AT284" s="3"/>
      <c r="AU284" s="3"/>
      <c r="AV284" s="3"/>
    </row>
    <row r="285" spans="1:48" ht="15.4" x14ac:dyDescent="0.35">
      <c r="A285" s="9"/>
      <c r="B285" s="3"/>
      <c r="C285" s="10"/>
      <c r="D285" s="10"/>
      <c r="E285" s="10"/>
      <c r="F285" s="10"/>
      <c r="G285" s="3"/>
      <c r="H285" s="9"/>
      <c r="I285" s="9"/>
      <c r="J285" s="9"/>
      <c r="K285" s="10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3"/>
      <c r="AM285" s="3"/>
      <c r="AN285" s="10"/>
      <c r="AO285" s="3"/>
      <c r="AP285" s="3"/>
      <c r="AQ285" s="3"/>
      <c r="AR285" s="3"/>
      <c r="AS285" s="3"/>
      <c r="AT285" s="3"/>
      <c r="AU285" s="3"/>
      <c r="AV285" s="3"/>
    </row>
    <row r="286" spans="1:48" ht="15.4" x14ac:dyDescent="0.35">
      <c r="A286" s="9"/>
      <c r="B286" s="3"/>
      <c r="C286" s="10"/>
      <c r="D286" s="10"/>
      <c r="E286" s="10"/>
      <c r="F286" s="10"/>
      <c r="G286" s="3"/>
      <c r="H286" s="9"/>
      <c r="I286" s="9"/>
      <c r="J286" s="9"/>
      <c r="K286" s="10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3"/>
      <c r="AM286" s="3"/>
      <c r="AN286" s="10"/>
      <c r="AO286" s="3"/>
      <c r="AP286" s="3"/>
      <c r="AQ286" s="3"/>
      <c r="AR286" s="3"/>
      <c r="AS286" s="3"/>
      <c r="AT286" s="3"/>
      <c r="AU286" s="3"/>
      <c r="AV286" s="3"/>
    </row>
    <row r="287" spans="1:48" ht="15.4" x14ac:dyDescent="0.35">
      <c r="A287" s="9"/>
      <c r="B287" s="3"/>
      <c r="C287" s="10"/>
      <c r="D287" s="10"/>
      <c r="E287" s="10"/>
      <c r="F287" s="10"/>
      <c r="G287" s="3"/>
      <c r="H287" s="9"/>
      <c r="I287" s="9"/>
      <c r="J287" s="9"/>
      <c r="K287" s="10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3"/>
      <c r="AM287" s="3"/>
      <c r="AN287" s="10"/>
      <c r="AO287" s="3"/>
      <c r="AP287" s="3"/>
      <c r="AQ287" s="3"/>
      <c r="AR287" s="3"/>
      <c r="AS287" s="3"/>
      <c r="AT287" s="3"/>
      <c r="AU287" s="3"/>
      <c r="AV287" s="3"/>
    </row>
    <row r="288" spans="1:48" ht="15.4" x14ac:dyDescent="0.35">
      <c r="A288" s="9"/>
      <c r="B288" s="3"/>
      <c r="C288" s="10"/>
      <c r="D288" s="10"/>
      <c r="E288" s="10"/>
      <c r="F288" s="10"/>
      <c r="G288" s="3"/>
      <c r="H288" s="9"/>
      <c r="I288" s="9"/>
      <c r="J288" s="9"/>
      <c r="K288" s="10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3"/>
      <c r="AM288" s="3"/>
      <c r="AN288" s="10"/>
      <c r="AO288" s="3"/>
      <c r="AP288" s="3"/>
      <c r="AQ288" s="3"/>
      <c r="AR288" s="3"/>
      <c r="AS288" s="3"/>
      <c r="AT288" s="3"/>
      <c r="AU288" s="3"/>
      <c r="AV288" s="3"/>
    </row>
    <row r="289" spans="1:48" ht="15.4" x14ac:dyDescent="0.35">
      <c r="A289" s="9"/>
      <c r="B289" s="3"/>
      <c r="C289" s="10"/>
      <c r="D289" s="10"/>
      <c r="E289" s="10"/>
      <c r="F289" s="10"/>
      <c r="G289" s="3"/>
      <c r="H289" s="9"/>
      <c r="I289" s="9"/>
      <c r="J289" s="9"/>
      <c r="K289" s="10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3"/>
      <c r="AM289" s="3"/>
      <c r="AN289" s="10"/>
      <c r="AO289" s="3"/>
      <c r="AP289" s="3"/>
      <c r="AQ289" s="3"/>
      <c r="AR289" s="3"/>
      <c r="AS289" s="3"/>
      <c r="AT289" s="3"/>
      <c r="AU289" s="3"/>
      <c r="AV289" s="3"/>
    </row>
    <row r="290" spans="1:48" ht="15.4" x14ac:dyDescent="0.35">
      <c r="A290" s="9"/>
      <c r="B290" s="3"/>
      <c r="C290" s="10"/>
      <c r="D290" s="10"/>
      <c r="E290" s="10"/>
      <c r="F290" s="10"/>
      <c r="G290" s="3"/>
      <c r="H290" s="9"/>
      <c r="I290" s="9"/>
      <c r="J290" s="9"/>
      <c r="K290" s="10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3"/>
      <c r="AM290" s="3"/>
      <c r="AN290" s="10"/>
      <c r="AO290" s="3"/>
      <c r="AP290" s="3"/>
      <c r="AQ290" s="3"/>
      <c r="AR290" s="3"/>
      <c r="AS290" s="3"/>
      <c r="AT290" s="3"/>
      <c r="AU290" s="3"/>
      <c r="AV290" s="3"/>
    </row>
    <row r="291" spans="1:48" ht="15.4" x14ac:dyDescent="0.35">
      <c r="A291" s="9"/>
      <c r="B291" s="3"/>
      <c r="C291" s="10"/>
      <c r="D291" s="10"/>
      <c r="E291" s="10"/>
      <c r="F291" s="10"/>
      <c r="G291" s="3"/>
      <c r="H291" s="9"/>
      <c r="I291" s="9"/>
      <c r="J291" s="9"/>
      <c r="K291" s="10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3"/>
      <c r="AM291" s="3"/>
      <c r="AN291" s="10"/>
      <c r="AO291" s="3"/>
      <c r="AP291" s="3"/>
      <c r="AQ291" s="3"/>
      <c r="AR291" s="3"/>
      <c r="AS291" s="3"/>
      <c r="AT291" s="3"/>
      <c r="AU291" s="3"/>
      <c r="AV291" s="3"/>
    </row>
    <row r="292" spans="1:48" ht="15.4" x14ac:dyDescent="0.35">
      <c r="A292" s="9"/>
      <c r="B292" s="3"/>
      <c r="C292" s="10"/>
      <c r="D292" s="10"/>
      <c r="E292" s="10"/>
      <c r="F292" s="10"/>
      <c r="G292" s="3"/>
      <c r="H292" s="9"/>
      <c r="I292" s="9"/>
      <c r="J292" s="9"/>
      <c r="K292" s="10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3"/>
      <c r="AM292" s="3"/>
      <c r="AN292" s="10"/>
      <c r="AO292" s="3"/>
      <c r="AP292" s="3"/>
      <c r="AQ292" s="3"/>
      <c r="AR292" s="3"/>
      <c r="AS292" s="3"/>
      <c r="AT292" s="3"/>
      <c r="AU292" s="3"/>
      <c r="AV292" s="3"/>
    </row>
    <row r="293" spans="1:48" ht="15.4" x14ac:dyDescent="0.35">
      <c r="A293" s="9"/>
      <c r="B293" s="3"/>
      <c r="C293" s="10"/>
      <c r="D293" s="10"/>
      <c r="E293" s="10"/>
      <c r="F293" s="10"/>
      <c r="G293" s="3"/>
      <c r="H293" s="9"/>
      <c r="I293" s="9"/>
      <c r="J293" s="9"/>
      <c r="K293" s="10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3"/>
      <c r="AM293" s="3"/>
      <c r="AN293" s="10"/>
      <c r="AO293" s="3"/>
      <c r="AP293" s="3"/>
      <c r="AQ293" s="3"/>
      <c r="AR293" s="3"/>
      <c r="AS293" s="3"/>
      <c r="AT293" s="3"/>
      <c r="AU293" s="3"/>
      <c r="AV293" s="3"/>
    </row>
    <row r="294" spans="1:48" ht="15.4" x14ac:dyDescent="0.35">
      <c r="A294" s="9"/>
      <c r="B294" s="3"/>
      <c r="C294" s="10"/>
      <c r="D294" s="10"/>
      <c r="E294" s="10"/>
      <c r="F294" s="10"/>
      <c r="G294" s="3"/>
      <c r="H294" s="9"/>
      <c r="I294" s="9"/>
      <c r="J294" s="9"/>
      <c r="K294" s="10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3"/>
      <c r="AM294" s="3"/>
      <c r="AN294" s="10"/>
      <c r="AO294" s="3"/>
      <c r="AP294" s="3"/>
      <c r="AQ294" s="3"/>
      <c r="AR294" s="3"/>
      <c r="AS294" s="3"/>
      <c r="AT294" s="3"/>
      <c r="AU294" s="3"/>
      <c r="AV294" s="3"/>
    </row>
    <row r="295" spans="1:48" ht="15.4" x14ac:dyDescent="0.35">
      <c r="A295" s="9"/>
      <c r="B295" s="3"/>
      <c r="C295" s="10"/>
      <c r="D295" s="10"/>
      <c r="E295" s="10"/>
      <c r="F295" s="10"/>
      <c r="G295" s="3"/>
      <c r="H295" s="9"/>
      <c r="I295" s="9"/>
      <c r="J295" s="9"/>
      <c r="K295" s="10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3"/>
      <c r="AM295" s="3"/>
      <c r="AN295" s="10"/>
      <c r="AO295" s="3"/>
      <c r="AP295" s="3"/>
      <c r="AQ295" s="3"/>
      <c r="AR295" s="3"/>
      <c r="AS295" s="3"/>
      <c r="AT295" s="3"/>
      <c r="AU295" s="3"/>
      <c r="AV295" s="3"/>
    </row>
    <row r="296" spans="1:48" ht="15.4" x14ac:dyDescent="0.35">
      <c r="A296" s="9"/>
      <c r="B296" s="3"/>
      <c r="C296" s="10"/>
      <c r="D296" s="10"/>
      <c r="E296" s="10"/>
      <c r="F296" s="10"/>
      <c r="G296" s="3"/>
      <c r="H296" s="9"/>
      <c r="I296" s="9"/>
      <c r="J296" s="9"/>
      <c r="K296" s="10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3"/>
      <c r="AM296" s="3"/>
      <c r="AN296" s="10"/>
      <c r="AO296" s="3"/>
      <c r="AP296" s="3"/>
      <c r="AQ296" s="3"/>
      <c r="AR296" s="3"/>
      <c r="AS296" s="3"/>
      <c r="AT296" s="3"/>
      <c r="AU296" s="3"/>
      <c r="AV296" s="3"/>
    </row>
    <row r="297" spans="1:48" ht="15.4" x14ac:dyDescent="0.35">
      <c r="A297" s="9"/>
      <c r="B297" s="3"/>
      <c r="C297" s="10"/>
      <c r="D297" s="10"/>
      <c r="E297" s="10"/>
      <c r="F297" s="10"/>
      <c r="G297" s="3"/>
      <c r="H297" s="9"/>
      <c r="I297" s="9"/>
      <c r="J297" s="9"/>
      <c r="K297" s="10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3"/>
      <c r="AM297" s="3"/>
      <c r="AN297" s="10"/>
      <c r="AO297" s="3"/>
      <c r="AP297" s="3"/>
      <c r="AQ297" s="3"/>
      <c r="AR297" s="3"/>
      <c r="AS297" s="3"/>
      <c r="AT297" s="3"/>
      <c r="AU297" s="3"/>
      <c r="AV297" s="3"/>
    </row>
    <row r="298" spans="1:48" ht="15.4" x14ac:dyDescent="0.35">
      <c r="A298" s="9"/>
      <c r="B298" s="3"/>
      <c r="C298" s="10"/>
      <c r="D298" s="10"/>
      <c r="E298" s="10"/>
      <c r="F298" s="10"/>
      <c r="G298" s="3"/>
      <c r="H298" s="9"/>
      <c r="I298" s="9"/>
      <c r="J298" s="9"/>
      <c r="K298" s="10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3"/>
      <c r="AM298" s="3"/>
      <c r="AN298" s="10"/>
      <c r="AO298" s="3"/>
      <c r="AP298" s="3"/>
      <c r="AQ298" s="3"/>
      <c r="AR298" s="3"/>
      <c r="AS298" s="3"/>
      <c r="AT298" s="3"/>
      <c r="AU298" s="3"/>
      <c r="AV298" s="3"/>
    </row>
    <row r="299" spans="1:48" ht="15.4" x14ac:dyDescent="0.35">
      <c r="A299" s="9"/>
      <c r="B299" s="3"/>
      <c r="C299" s="10"/>
      <c r="D299" s="10"/>
      <c r="E299" s="10"/>
      <c r="F299" s="10"/>
      <c r="G299" s="3"/>
      <c r="H299" s="9"/>
      <c r="I299" s="9"/>
      <c r="J299" s="9"/>
      <c r="K299" s="10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3"/>
      <c r="AM299" s="3"/>
      <c r="AN299" s="10"/>
      <c r="AO299" s="3"/>
      <c r="AP299" s="3"/>
      <c r="AQ299" s="3"/>
      <c r="AR299" s="3"/>
      <c r="AS299" s="3"/>
      <c r="AT299" s="3"/>
      <c r="AU299" s="3"/>
      <c r="AV299" s="3"/>
    </row>
    <row r="300" spans="1:48" ht="15.4" x14ac:dyDescent="0.35">
      <c r="A300" s="9"/>
      <c r="B300" s="3"/>
      <c r="C300" s="10"/>
      <c r="D300" s="10"/>
      <c r="E300" s="10"/>
      <c r="F300" s="10"/>
      <c r="G300" s="3"/>
      <c r="H300" s="9"/>
      <c r="I300" s="9"/>
      <c r="J300" s="9"/>
      <c r="K300" s="10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3"/>
      <c r="AM300" s="3"/>
      <c r="AN300" s="10"/>
      <c r="AO300" s="3"/>
      <c r="AP300" s="3"/>
      <c r="AQ300" s="3"/>
      <c r="AR300" s="3"/>
      <c r="AS300" s="3"/>
      <c r="AT300" s="3"/>
      <c r="AU300" s="3"/>
      <c r="AV300" s="3"/>
    </row>
    <row r="301" spans="1:48" ht="15.4" x14ac:dyDescent="0.35">
      <c r="A301" s="9"/>
      <c r="B301" s="3"/>
      <c r="C301" s="10"/>
      <c r="D301" s="10"/>
      <c r="E301" s="10"/>
      <c r="F301" s="10"/>
      <c r="G301" s="3"/>
      <c r="H301" s="9"/>
      <c r="I301" s="9"/>
      <c r="J301" s="9"/>
      <c r="K301" s="10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3"/>
      <c r="AM301" s="3"/>
      <c r="AN301" s="10"/>
      <c r="AO301" s="3"/>
      <c r="AP301" s="3"/>
      <c r="AQ301" s="3"/>
      <c r="AR301" s="3"/>
      <c r="AS301" s="3"/>
      <c r="AT301" s="3"/>
      <c r="AU301" s="3"/>
      <c r="AV301" s="3"/>
    </row>
    <row r="302" spans="1:48" ht="15.4" x14ac:dyDescent="0.35">
      <c r="A302" s="9"/>
      <c r="B302" s="3"/>
      <c r="C302" s="10"/>
      <c r="D302" s="10"/>
      <c r="E302" s="10"/>
      <c r="F302" s="10"/>
      <c r="G302" s="3"/>
      <c r="H302" s="9"/>
      <c r="I302" s="9"/>
      <c r="J302" s="9"/>
      <c r="K302" s="10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3"/>
      <c r="AM302" s="3"/>
      <c r="AN302" s="10"/>
      <c r="AO302" s="3"/>
      <c r="AP302" s="3"/>
      <c r="AQ302" s="3"/>
      <c r="AR302" s="3"/>
      <c r="AS302" s="3"/>
      <c r="AT302" s="3"/>
      <c r="AU302" s="3"/>
      <c r="AV302" s="3"/>
    </row>
    <row r="303" spans="1:48" ht="15.4" x14ac:dyDescent="0.35">
      <c r="A303" s="9"/>
      <c r="B303" s="3"/>
      <c r="C303" s="10"/>
      <c r="D303" s="10"/>
      <c r="E303" s="10"/>
      <c r="F303" s="10"/>
      <c r="G303" s="3"/>
      <c r="H303" s="9"/>
      <c r="I303" s="9"/>
      <c r="J303" s="9"/>
      <c r="K303" s="10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3"/>
      <c r="AM303" s="3"/>
      <c r="AN303" s="10"/>
      <c r="AO303" s="3"/>
      <c r="AP303" s="3"/>
      <c r="AQ303" s="3"/>
      <c r="AR303" s="3"/>
      <c r="AS303" s="3"/>
      <c r="AT303" s="3"/>
      <c r="AU303" s="3"/>
      <c r="AV303" s="3"/>
    </row>
    <row r="304" spans="1:48" ht="15.4" x14ac:dyDescent="0.35">
      <c r="A304" s="9"/>
      <c r="B304" s="3"/>
      <c r="C304" s="10"/>
      <c r="D304" s="10"/>
      <c r="E304" s="10"/>
      <c r="F304" s="10"/>
      <c r="G304" s="3"/>
      <c r="H304" s="9"/>
      <c r="I304" s="9"/>
      <c r="J304" s="9"/>
      <c r="K304" s="10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3"/>
      <c r="AM304" s="3"/>
      <c r="AN304" s="10"/>
      <c r="AO304" s="3"/>
      <c r="AP304" s="3"/>
      <c r="AQ304" s="3"/>
      <c r="AR304" s="3"/>
      <c r="AS304" s="3"/>
      <c r="AT304" s="3"/>
      <c r="AU304" s="3"/>
      <c r="AV304" s="3"/>
    </row>
    <row r="305" spans="1:48" ht="15.4" x14ac:dyDescent="0.35">
      <c r="A305" s="9"/>
      <c r="B305" s="3"/>
      <c r="C305" s="10"/>
      <c r="D305" s="10"/>
      <c r="E305" s="10"/>
      <c r="F305" s="10"/>
      <c r="G305" s="3"/>
      <c r="H305" s="9"/>
      <c r="I305" s="9"/>
      <c r="J305" s="9"/>
      <c r="K305" s="10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3"/>
      <c r="AM305" s="3"/>
      <c r="AN305" s="10"/>
      <c r="AO305" s="3"/>
      <c r="AP305" s="3"/>
      <c r="AQ305" s="3"/>
      <c r="AR305" s="3"/>
      <c r="AS305" s="3"/>
      <c r="AT305" s="3"/>
      <c r="AU305" s="3"/>
      <c r="AV305" s="3"/>
    </row>
    <row r="306" spans="1:48" ht="15.4" x14ac:dyDescent="0.35">
      <c r="A306" s="9"/>
      <c r="B306" s="3"/>
      <c r="C306" s="10"/>
      <c r="D306" s="10"/>
      <c r="E306" s="10"/>
      <c r="F306" s="10"/>
      <c r="G306" s="3"/>
      <c r="H306" s="9"/>
      <c r="I306" s="9"/>
      <c r="J306" s="9"/>
      <c r="K306" s="10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3"/>
      <c r="AM306" s="3"/>
      <c r="AN306" s="10"/>
      <c r="AO306" s="3"/>
      <c r="AP306" s="3"/>
      <c r="AQ306" s="3"/>
      <c r="AR306" s="3"/>
      <c r="AS306" s="3"/>
      <c r="AT306" s="3"/>
      <c r="AU306" s="3"/>
      <c r="AV306" s="3"/>
    </row>
    <row r="307" spans="1:48" ht="15.4" x14ac:dyDescent="0.35">
      <c r="A307" s="9"/>
      <c r="B307" s="3"/>
      <c r="C307" s="10"/>
      <c r="D307" s="10"/>
      <c r="E307" s="10"/>
      <c r="F307" s="10"/>
      <c r="G307" s="3"/>
      <c r="H307" s="9"/>
      <c r="I307" s="9"/>
      <c r="J307" s="9"/>
      <c r="K307" s="10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3"/>
      <c r="AM307" s="3"/>
      <c r="AN307" s="10"/>
      <c r="AO307" s="3"/>
      <c r="AP307" s="3"/>
      <c r="AQ307" s="3"/>
      <c r="AR307" s="3"/>
      <c r="AS307" s="3"/>
      <c r="AT307" s="3"/>
      <c r="AU307" s="3"/>
      <c r="AV307" s="3"/>
    </row>
    <row r="308" spans="1:48" ht="15.4" x14ac:dyDescent="0.35">
      <c r="A308" s="9"/>
      <c r="B308" s="3"/>
      <c r="C308" s="10"/>
      <c r="D308" s="10"/>
      <c r="E308" s="10"/>
      <c r="F308" s="10"/>
      <c r="G308" s="3"/>
      <c r="H308" s="9"/>
      <c r="I308" s="9"/>
      <c r="J308" s="9"/>
      <c r="K308" s="10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3"/>
      <c r="AM308" s="3"/>
      <c r="AN308" s="10"/>
      <c r="AO308" s="3"/>
      <c r="AP308" s="3"/>
      <c r="AQ308" s="3"/>
      <c r="AR308" s="3"/>
      <c r="AS308" s="3"/>
      <c r="AT308" s="3"/>
      <c r="AU308" s="3"/>
      <c r="AV308" s="3"/>
    </row>
    <row r="309" spans="1:48" ht="15.4" x14ac:dyDescent="0.35">
      <c r="A309" s="9"/>
      <c r="B309" s="3"/>
      <c r="C309" s="10"/>
      <c r="D309" s="10"/>
      <c r="E309" s="10"/>
      <c r="F309" s="10"/>
      <c r="G309" s="3"/>
      <c r="H309" s="9"/>
      <c r="I309" s="9"/>
      <c r="J309" s="9"/>
      <c r="K309" s="10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3"/>
      <c r="AM309" s="3"/>
      <c r="AN309" s="10"/>
      <c r="AO309" s="3"/>
      <c r="AP309" s="3"/>
      <c r="AQ309" s="3"/>
      <c r="AR309" s="3"/>
      <c r="AS309" s="3"/>
      <c r="AT309" s="3"/>
      <c r="AU309" s="3"/>
      <c r="AV309" s="3"/>
    </row>
    <row r="310" spans="1:48" ht="15.4" x14ac:dyDescent="0.35">
      <c r="A310" s="9"/>
      <c r="B310" s="3"/>
      <c r="C310" s="10"/>
      <c r="D310" s="10"/>
      <c r="E310" s="10"/>
      <c r="F310" s="10"/>
      <c r="G310" s="3"/>
      <c r="H310" s="9"/>
      <c r="I310" s="9"/>
      <c r="J310" s="9"/>
      <c r="K310" s="10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3"/>
      <c r="AM310" s="3"/>
      <c r="AN310" s="10"/>
      <c r="AO310" s="3"/>
      <c r="AP310" s="3"/>
      <c r="AQ310" s="3"/>
      <c r="AR310" s="3"/>
      <c r="AS310" s="3"/>
      <c r="AT310" s="3"/>
      <c r="AU310" s="3"/>
      <c r="AV310" s="3"/>
    </row>
    <row r="311" spans="1:48" ht="15.4" x14ac:dyDescent="0.35">
      <c r="A311" s="9"/>
      <c r="B311" s="3"/>
      <c r="C311" s="10"/>
      <c r="D311" s="10"/>
      <c r="E311" s="10"/>
      <c r="F311" s="10"/>
      <c r="G311" s="3"/>
      <c r="H311" s="9"/>
      <c r="I311" s="9"/>
      <c r="J311" s="9"/>
      <c r="K311" s="10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3"/>
      <c r="AM311" s="3"/>
      <c r="AN311" s="10"/>
      <c r="AO311" s="3"/>
      <c r="AP311" s="3"/>
      <c r="AQ311" s="3"/>
      <c r="AR311" s="3"/>
      <c r="AS311" s="3"/>
      <c r="AT311" s="3"/>
      <c r="AU311" s="3"/>
      <c r="AV311" s="3"/>
    </row>
    <row r="312" spans="1:48" ht="15.4" x14ac:dyDescent="0.35">
      <c r="A312" s="9"/>
      <c r="B312" s="3"/>
      <c r="C312" s="10"/>
      <c r="D312" s="10"/>
      <c r="E312" s="10"/>
      <c r="F312" s="10"/>
      <c r="G312" s="3"/>
      <c r="H312" s="9"/>
      <c r="I312" s="9"/>
      <c r="J312" s="9"/>
      <c r="K312" s="10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3"/>
      <c r="AM312" s="3"/>
      <c r="AN312" s="10"/>
      <c r="AO312" s="3"/>
      <c r="AP312" s="3"/>
      <c r="AQ312" s="3"/>
      <c r="AR312" s="3"/>
      <c r="AS312" s="3"/>
      <c r="AT312" s="3"/>
      <c r="AU312" s="3"/>
      <c r="AV312" s="3"/>
    </row>
    <row r="313" spans="1:48" ht="15.4" x14ac:dyDescent="0.35">
      <c r="A313" s="9"/>
      <c r="B313" s="3"/>
      <c r="C313" s="10"/>
      <c r="D313" s="10"/>
      <c r="E313" s="10"/>
      <c r="F313" s="10"/>
      <c r="G313" s="3"/>
      <c r="H313" s="9"/>
      <c r="I313" s="9"/>
      <c r="J313" s="9"/>
      <c r="K313" s="10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3"/>
      <c r="AM313" s="3"/>
      <c r="AN313" s="10"/>
      <c r="AO313" s="3"/>
      <c r="AP313" s="3"/>
      <c r="AQ313" s="3"/>
      <c r="AR313" s="3"/>
      <c r="AS313" s="3"/>
      <c r="AT313" s="3"/>
      <c r="AU313" s="3"/>
      <c r="AV313" s="3"/>
    </row>
    <row r="314" spans="1:48" ht="15.4" x14ac:dyDescent="0.35">
      <c r="A314" s="9"/>
      <c r="B314" s="3"/>
      <c r="C314" s="10"/>
      <c r="D314" s="10"/>
      <c r="E314" s="10"/>
      <c r="F314" s="10"/>
      <c r="G314" s="3"/>
      <c r="H314" s="9"/>
      <c r="I314" s="9"/>
      <c r="J314" s="9"/>
      <c r="K314" s="10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3"/>
      <c r="AM314" s="3"/>
      <c r="AN314" s="10"/>
      <c r="AO314" s="3"/>
      <c r="AP314" s="3"/>
      <c r="AQ314" s="3"/>
      <c r="AR314" s="3"/>
      <c r="AS314" s="3"/>
      <c r="AT314" s="3"/>
      <c r="AU314" s="3"/>
      <c r="AV314" s="3"/>
    </row>
    <row r="315" spans="1:48" ht="15.4" x14ac:dyDescent="0.35">
      <c r="A315" s="9"/>
      <c r="B315" s="3"/>
      <c r="C315" s="10"/>
      <c r="D315" s="10"/>
      <c r="E315" s="10"/>
      <c r="F315" s="10"/>
      <c r="G315" s="3"/>
      <c r="H315" s="9"/>
      <c r="I315" s="9"/>
      <c r="J315" s="9"/>
      <c r="K315" s="10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3"/>
      <c r="AM315" s="3"/>
      <c r="AN315" s="10"/>
      <c r="AO315" s="3"/>
      <c r="AP315" s="3"/>
      <c r="AQ315" s="3"/>
      <c r="AR315" s="3"/>
      <c r="AS315" s="3"/>
      <c r="AT315" s="3"/>
      <c r="AU315" s="3"/>
      <c r="AV315" s="3"/>
    </row>
    <row r="316" spans="1:48" ht="15.4" x14ac:dyDescent="0.35">
      <c r="A316" s="9"/>
      <c r="B316" s="3"/>
      <c r="C316" s="10"/>
      <c r="D316" s="10"/>
      <c r="E316" s="10"/>
      <c r="F316" s="10"/>
      <c r="G316" s="3"/>
      <c r="H316" s="9"/>
      <c r="I316" s="9"/>
      <c r="J316" s="9"/>
      <c r="K316" s="10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3"/>
      <c r="AM316" s="3"/>
      <c r="AN316" s="10"/>
      <c r="AO316" s="3"/>
      <c r="AP316" s="3"/>
      <c r="AQ316" s="3"/>
      <c r="AR316" s="3"/>
      <c r="AS316" s="3"/>
      <c r="AT316" s="3"/>
      <c r="AU316" s="3"/>
      <c r="AV316" s="3"/>
    </row>
    <row r="317" spans="1:48" ht="15.4" x14ac:dyDescent="0.35">
      <c r="A317" s="9"/>
      <c r="B317" s="3"/>
      <c r="C317" s="10"/>
      <c r="D317" s="10"/>
      <c r="E317" s="10"/>
      <c r="F317" s="10"/>
      <c r="G317" s="3"/>
      <c r="H317" s="9"/>
      <c r="I317" s="9"/>
      <c r="J317" s="9"/>
      <c r="K317" s="1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3"/>
      <c r="AM317" s="3"/>
      <c r="AN317" s="10"/>
      <c r="AO317" s="3"/>
      <c r="AP317" s="3"/>
      <c r="AQ317" s="3"/>
      <c r="AR317" s="3"/>
      <c r="AS317" s="3"/>
      <c r="AT317" s="3"/>
      <c r="AU317" s="3"/>
      <c r="AV317" s="3"/>
    </row>
    <row r="318" spans="1:48" ht="15.4" x14ac:dyDescent="0.35">
      <c r="A318" s="9"/>
      <c r="B318" s="3"/>
      <c r="C318" s="10"/>
      <c r="D318" s="10"/>
      <c r="E318" s="10"/>
      <c r="F318" s="10"/>
      <c r="G318" s="3"/>
      <c r="H318" s="9"/>
      <c r="I318" s="9"/>
      <c r="J318" s="9"/>
      <c r="K318" s="1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3"/>
      <c r="AM318" s="3"/>
      <c r="AN318" s="10"/>
      <c r="AO318" s="3"/>
      <c r="AP318" s="3"/>
      <c r="AQ318" s="3"/>
      <c r="AR318" s="3"/>
      <c r="AS318" s="3"/>
      <c r="AT318" s="3"/>
      <c r="AU318" s="3"/>
      <c r="AV318" s="3"/>
    </row>
    <row r="319" spans="1:48" ht="15.4" x14ac:dyDescent="0.35">
      <c r="A319" s="9"/>
      <c r="B319" s="3"/>
      <c r="C319" s="10"/>
      <c r="D319" s="10"/>
      <c r="E319" s="10"/>
      <c r="F319" s="10"/>
      <c r="G319" s="3"/>
      <c r="H319" s="9"/>
      <c r="I319" s="9"/>
      <c r="J319" s="9"/>
      <c r="K319" s="1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3"/>
      <c r="AM319" s="3"/>
      <c r="AN319" s="10"/>
      <c r="AO319" s="3"/>
      <c r="AP319" s="3"/>
      <c r="AQ319" s="3"/>
      <c r="AR319" s="3"/>
      <c r="AS319" s="3"/>
      <c r="AT319" s="3"/>
      <c r="AU319" s="3"/>
      <c r="AV319" s="3"/>
    </row>
    <row r="320" spans="1:48" ht="15.4" x14ac:dyDescent="0.35">
      <c r="A320" s="9"/>
      <c r="B320" s="3"/>
      <c r="C320" s="10"/>
      <c r="D320" s="10"/>
      <c r="E320" s="10"/>
      <c r="F320" s="10"/>
      <c r="G320" s="3"/>
      <c r="H320" s="9"/>
      <c r="I320" s="9"/>
      <c r="J320" s="9"/>
      <c r="K320" s="10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3"/>
      <c r="AM320" s="3"/>
      <c r="AN320" s="10"/>
      <c r="AO320" s="3"/>
      <c r="AP320" s="3"/>
      <c r="AQ320" s="3"/>
      <c r="AR320" s="3"/>
      <c r="AS320" s="3"/>
      <c r="AT320" s="3"/>
      <c r="AU320" s="3"/>
      <c r="AV320" s="3"/>
    </row>
    <row r="321" spans="1:48" ht="15.4" x14ac:dyDescent="0.35">
      <c r="A321" s="9"/>
      <c r="B321" s="3"/>
      <c r="C321" s="10"/>
      <c r="D321" s="10"/>
      <c r="E321" s="10"/>
      <c r="F321" s="10"/>
      <c r="G321" s="3"/>
      <c r="H321" s="9"/>
      <c r="I321" s="9"/>
      <c r="J321" s="9"/>
      <c r="K321" s="10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3"/>
      <c r="AM321" s="3"/>
      <c r="AN321" s="10"/>
      <c r="AO321" s="3"/>
      <c r="AP321" s="3"/>
      <c r="AQ321" s="3"/>
      <c r="AR321" s="3"/>
      <c r="AS321" s="3"/>
      <c r="AT321" s="3"/>
      <c r="AU321" s="3"/>
      <c r="AV321" s="3"/>
    </row>
    <row r="322" spans="1:48" ht="15.4" x14ac:dyDescent="0.35">
      <c r="A322" s="9"/>
      <c r="B322" s="3"/>
      <c r="C322" s="10"/>
      <c r="D322" s="10"/>
      <c r="E322" s="10"/>
      <c r="F322" s="10"/>
      <c r="G322" s="3"/>
      <c r="H322" s="9"/>
      <c r="I322" s="9"/>
      <c r="J322" s="9"/>
      <c r="K322" s="10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3"/>
      <c r="AM322" s="3"/>
      <c r="AN322" s="10"/>
      <c r="AO322" s="3"/>
      <c r="AP322" s="3"/>
      <c r="AQ322" s="3"/>
      <c r="AR322" s="3"/>
      <c r="AS322" s="3"/>
      <c r="AT322" s="3"/>
      <c r="AU322" s="3"/>
      <c r="AV322" s="3"/>
    </row>
    <row r="323" spans="1:48" ht="15.4" x14ac:dyDescent="0.35">
      <c r="A323" s="9"/>
      <c r="B323" s="3"/>
      <c r="C323" s="10"/>
      <c r="D323" s="10"/>
      <c r="E323" s="10"/>
      <c r="F323" s="10"/>
      <c r="G323" s="3"/>
      <c r="H323" s="9"/>
      <c r="I323" s="9"/>
      <c r="J323" s="9"/>
      <c r="K323" s="10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3"/>
      <c r="AM323" s="3"/>
      <c r="AN323" s="10"/>
      <c r="AO323" s="3"/>
      <c r="AP323" s="3"/>
      <c r="AQ323" s="3"/>
      <c r="AR323" s="3"/>
      <c r="AS323" s="3"/>
      <c r="AT323" s="3"/>
      <c r="AU323" s="3"/>
      <c r="AV323" s="3"/>
    </row>
    <row r="324" spans="1:48" ht="15.4" x14ac:dyDescent="0.35">
      <c r="A324" s="9"/>
      <c r="B324" s="3"/>
      <c r="C324" s="10"/>
      <c r="D324" s="10"/>
      <c r="E324" s="10"/>
      <c r="F324" s="10"/>
      <c r="G324" s="3"/>
      <c r="H324" s="9"/>
      <c r="I324" s="9"/>
      <c r="J324" s="9"/>
      <c r="K324" s="10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3"/>
      <c r="AM324" s="3"/>
      <c r="AN324" s="10"/>
      <c r="AO324" s="3"/>
      <c r="AP324" s="3"/>
      <c r="AQ324" s="3"/>
      <c r="AR324" s="3"/>
      <c r="AS324" s="3"/>
      <c r="AT324" s="3"/>
      <c r="AU324" s="3"/>
      <c r="AV324" s="3"/>
    </row>
    <row r="325" spans="1:48" ht="15.4" x14ac:dyDescent="0.35">
      <c r="A325" s="9"/>
      <c r="B325" s="3"/>
      <c r="C325" s="10"/>
      <c r="D325" s="10"/>
      <c r="E325" s="10"/>
      <c r="F325" s="10"/>
      <c r="G325" s="3"/>
      <c r="H325" s="9"/>
      <c r="I325" s="9"/>
      <c r="J325" s="9"/>
      <c r="K325" s="10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3"/>
      <c r="AM325" s="3"/>
      <c r="AN325" s="10"/>
      <c r="AO325" s="3"/>
      <c r="AP325" s="3"/>
      <c r="AQ325" s="3"/>
      <c r="AR325" s="3"/>
      <c r="AS325" s="3"/>
      <c r="AT325" s="3"/>
      <c r="AU325" s="3"/>
      <c r="AV325" s="3"/>
    </row>
    <row r="326" spans="1:48" ht="15.4" x14ac:dyDescent="0.35">
      <c r="A326" s="9"/>
      <c r="B326" s="3"/>
      <c r="C326" s="10"/>
      <c r="D326" s="10"/>
      <c r="E326" s="10"/>
      <c r="F326" s="10"/>
      <c r="G326" s="3"/>
      <c r="H326" s="9"/>
      <c r="I326" s="9"/>
      <c r="J326" s="9"/>
      <c r="K326" s="10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3"/>
      <c r="AM326" s="3"/>
      <c r="AN326" s="10"/>
      <c r="AO326" s="3"/>
      <c r="AP326" s="3"/>
      <c r="AQ326" s="3"/>
      <c r="AR326" s="3"/>
      <c r="AS326" s="3"/>
      <c r="AT326" s="3"/>
      <c r="AU326" s="3"/>
      <c r="AV326" s="3"/>
    </row>
    <row r="327" spans="1:48" ht="15.4" x14ac:dyDescent="0.35">
      <c r="A327" s="9"/>
      <c r="B327" s="3"/>
      <c r="C327" s="10"/>
      <c r="D327" s="10"/>
      <c r="E327" s="10"/>
      <c r="F327" s="10"/>
      <c r="G327" s="3"/>
      <c r="H327" s="9"/>
      <c r="I327" s="9"/>
      <c r="J327" s="9"/>
      <c r="K327" s="1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3"/>
      <c r="AM327" s="3"/>
      <c r="AN327" s="10"/>
      <c r="AO327" s="3"/>
      <c r="AP327" s="3"/>
      <c r="AQ327" s="3"/>
      <c r="AR327" s="3"/>
      <c r="AS327" s="3"/>
      <c r="AT327" s="3"/>
      <c r="AU327" s="3"/>
      <c r="AV327" s="3"/>
    </row>
    <row r="328" spans="1:48" ht="15.4" x14ac:dyDescent="0.35">
      <c r="A328" s="9"/>
      <c r="B328" s="3"/>
      <c r="C328" s="10"/>
      <c r="D328" s="10"/>
      <c r="E328" s="10"/>
      <c r="F328" s="10"/>
      <c r="G328" s="3"/>
      <c r="H328" s="9"/>
      <c r="I328" s="9"/>
      <c r="J328" s="9"/>
      <c r="K328" s="1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3"/>
      <c r="AM328" s="3"/>
      <c r="AN328" s="10"/>
      <c r="AO328" s="3"/>
      <c r="AP328" s="3"/>
      <c r="AQ328" s="3"/>
      <c r="AR328" s="3"/>
      <c r="AS328" s="3"/>
      <c r="AT328" s="3"/>
      <c r="AU328" s="3"/>
      <c r="AV328" s="3"/>
    </row>
    <row r="329" spans="1:48" ht="15.4" x14ac:dyDescent="0.35">
      <c r="A329" s="9"/>
      <c r="B329" s="3"/>
      <c r="C329" s="10"/>
      <c r="D329" s="10"/>
      <c r="E329" s="10"/>
      <c r="F329" s="10"/>
      <c r="G329" s="3"/>
      <c r="H329" s="9"/>
      <c r="I329" s="9"/>
      <c r="J329" s="9"/>
      <c r="K329" s="1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3"/>
      <c r="AM329" s="3"/>
      <c r="AN329" s="10"/>
      <c r="AO329" s="3"/>
      <c r="AP329" s="3"/>
      <c r="AQ329" s="3"/>
      <c r="AR329" s="3"/>
      <c r="AS329" s="3"/>
      <c r="AT329" s="3"/>
      <c r="AU329" s="3"/>
      <c r="AV329" s="3"/>
    </row>
    <row r="330" spans="1:48" ht="15.4" x14ac:dyDescent="0.35">
      <c r="A330" s="9"/>
      <c r="B330" s="3"/>
      <c r="C330" s="10"/>
      <c r="D330" s="10"/>
      <c r="E330" s="10"/>
      <c r="F330" s="10"/>
      <c r="G330" s="3"/>
      <c r="H330" s="9"/>
      <c r="I330" s="9"/>
      <c r="J330" s="9"/>
      <c r="K330" s="1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3"/>
      <c r="AM330" s="3"/>
      <c r="AN330" s="10"/>
      <c r="AO330" s="3"/>
      <c r="AP330" s="3"/>
      <c r="AQ330" s="3"/>
      <c r="AR330" s="3"/>
      <c r="AS330" s="3"/>
      <c r="AT330" s="3"/>
      <c r="AU330" s="3"/>
      <c r="AV330" s="3"/>
    </row>
    <row r="331" spans="1:48" ht="15.4" x14ac:dyDescent="0.35">
      <c r="A331" s="9"/>
      <c r="B331" s="3"/>
      <c r="C331" s="10"/>
      <c r="D331" s="10"/>
      <c r="E331" s="10"/>
      <c r="F331" s="10"/>
      <c r="G331" s="3"/>
      <c r="H331" s="9"/>
      <c r="I331" s="9"/>
      <c r="J331" s="9"/>
      <c r="K331" s="1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3"/>
      <c r="AM331" s="3"/>
      <c r="AN331" s="10"/>
      <c r="AO331" s="3"/>
      <c r="AP331" s="3"/>
      <c r="AQ331" s="3"/>
      <c r="AR331" s="3"/>
      <c r="AS331" s="3"/>
      <c r="AT331" s="3"/>
      <c r="AU331" s="3"/>
      <c r="AV331" s="3"/>
    </row>
    <row r="332" spans="1:48" ht="15.4" x14ac:dyDescent="0.35">
      <c r="A332" s="9"/>
      <c r="B332" s="3"/>
      <c r="C332" s="10"/>
      <c r="D332" s="10"/>
      <c r="E332" s="10"/>
      <c r="F332" s="10"/>
      <c r="G332" s="3"/>
      <c r="H332" s="9"/>
      <c r="I332" s="9"/>
      <c r="J332" s="9"/>
      <c r="K332" s="10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3"/>
      <c r="AM332" s="3"/>
      <c r="AN332" s="10"/>
      <c r="AO332" s="3"/>
      <c r="AP332" s="3"/>
      <c r="AQ332" s="3"/>
      <c r="AR332" s="3"/>
      <c r="AS332" s="3"/>
      <c r="AT332" s="3"/>
      <c r="AU332" s="3"/>
      <c r="AV332" s="3"/>
    </row>
    <row r="333" spans="1:48" ht="15.4" x14ac:dyDescent="0.35">
      <c r="A333" s="9"/>
      <c r="B333" s="3"/>
      <c r="C333" s="10"/>
      <c r="D333" s="10"/>
      <c r="E333" s="10"/>
      <c r="F333" s="10"/>
      <c r="G333" s="3"/>
      <c r="H333" s="9"/>
      <c r="I333" s="9"/>
      <c r="J333" s="9"/>
      <c r="K333" s="10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3"/>
      <c r="AM333" s="3"/>
      <c r="AN333" s="10"/>
      <c r="AO333" s="3"/>
      <c r="AP333" s="3"/>
      <c r="AQ333" s="3"/>
      <c r="AR333" s="3"/>
      <c r="AS333" s="3"/>
      <c r="AT333" s="3"/>
      <c r="AU333" s="3"/>
      <c r="AV333" s="3"/>
    </row>
    <row r="334" spans="1:48" ht="15.4" x14ac:dyDescent="0.35">
      <c r="A334" s="9"/>
      <c r="B334" s="3"/>
      <c r="C334" s="10"/>
      <c r="D334" s="10"/>
      <c r="E334" s="10"/>
      <c r="F334" s="10"/>
      <c r="G334" s="3"/>
      <c r="H334" s="9"/>
      <c r="I334" s="9"/>
      <c r="J334" s="9"/>
      <c r="K334" s="1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3"/>
      <c r="AM334" s="3"/>
      <c r="AN334" s="10"/>
      <c r="AO334" s="3"/>
      <c r="AP334" s="3"/>
      <c r="AQ334" s="3"/>
      <c r="AR334" s="3"/>
      <c r="AS334" s="3"/>
      <c r="AT334" s="3"/>
      <c r="AU334" s="3"/>
      <c r="AV334" s="3"/>
    </row>
    <row r="335" spans="1:48" ht="15.4" x14ac:dyDescent="0.35">
      <c r="A335" s="9"/>
      <c r="B335" s="3"/>
      <c r="C335" s="10"/>
      <c r="D335" s="10"/>
      <c r="E335" s="10"/>
      <c r="F335" s="10"/>
      <c r="G335" s="3"/>
      <c r="H335" s="9"/>
      <c r="I335" s="9"/>
      <c r="J335" s="9"/>
      <c r="K335" s="10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3"/>
      <c r="AM335" s="3"/>
      <c r="AN335" s="10"/>
      <c r="AO335" s="3"/>
      <c r="AP335" s="3"/>
      <c r="AQ335" s="3"/>
      <c r="AR335" s="3"/>
      <c r="AS335" s="3"/>
      <c r="AT335" s="3"/>
      <c r="AU335" s="3"/>
      <c r="AV335" s="3"/>
    </row>
    <row r="336" spans="1:48" ht="15.4" x14ac:dyDescent="0.35">
      <c r="A336" s="9"/>
      <c r="B336" s="3"/>
      <c r="C336" s="10"/>
      <c r="D336" s="10"/>
      <c r="E336" s="10"/>
      <c r="F336" s="10"/>
      <c r="G336" s="3"/>
      <c r="H336" s="9"/>
      <c r="I336" s="9"/>
      <c r="J336" s="9"/>
      <c r="K336" s="10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3"/>
      <c r="AM336" s="3"/>
      <c r="AN336" s="10"/>
      <c r="AO336" s="3"/>
      <c r="AP336" s="3"/>
      <c r="AQ336" s="3"/>
      <c r="AR336" s="3"/>
      <c r="AS336" s="3"/>
      <c r="AT336" s="3"/>
      <c r="AU336" s="3"/>
      <c r="AV336" s="3"/>
    </row>
    <row r="337" spans="1:48" ht="15.4" x14ac:dyDescent="0.35">
      <c r="A337" s="9"/>
      <c r="B337" s="3"/>
      <c r="C337" s="10"/>
      <c r="D337" s="10"/>
      <c r="E337" s="10"/>
      <c r="F337" s="10"/>
      <c r="G337" s="3"/>
      <c r="H337" s="9"/>
      <c r="I337" s="9"/>
      <c r="J337" s="9"/>
      <c r="K337" s="10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3"/>
      <c r="AM337" s="3"/>
      <c r="AN337" s="10"/>
      <c r="AO337" s="3"/>
      <c r="AP337" s="3"/>
      <c r="AQ337" s="3"/>
      <c r="AR337" s="3"/>
      <c r="AS337" s="3"/>
      <c r="AT337" s="3"/>
      <c r="AU337" s="3"/>
      <c r="AV337" s="3"/>
    </row>
    <row r="338" spans="1:48" ht="15.4" x14ac:dyDescent="0.35">
      <c r="A338" s="9"/>
      <c r="B338" s="3"/>
      <c r="C338" s="10"/>
      <c r="D338" s="10"/>
      <c r="E338" s="10"/>
      <c r="F338" s="10"/>
      <c r="G338" s="3"/>
      <c r="H338" s="9"/>
      <c r="I338" s="9"/>
      <c r="J338" s="9"/>
      <c r="K338" s="10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3"/>
      <c r="AM338" s="3"/>
      <c r="AN338" s="10"/>
      <c r="AO338" s="3"/>
      <c r="AP338" s="3"/>
      <c r="AQ338" s="3"/>
      <c r="AR338" s="3"/>
      <c r="AS338" s="3"/>
      <c r="AT338" s="3"/>
      <c r="AU338" s="3"/>
      <c r="AV338" s="3"/>
    </row>
    <row r="339" spans="1:48" ht="15.4" x14ac:dyDescent="0.35">
      <c r="A339" s="9"/>
      <c r="B339" s="3"/>
      <c r="C339" s="10"/>
      <c r="D339" s="10"/>
      <c r="E339" s="10"/>
      <c r="F339" s="10"/>
      <c r="G339" s="3"/>
      <c r="H339" s="9"/>
      <c r="I339" s="9"/>
      <c r="J339" s="9"/>
      <c r="K339" s="10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3"/>
      <c r="AM339" s="3"/>
      <c r="AN339" s="10"/>
      <c r="AO339" s="3"/>
      <c r="AP339" s="3"/>
      <c r="AQ339" s="3"/>
      <c r="AR339" s="3"/>
      <c r="AS339" s="3"/>
      <c r="AT339" s="3"/>
      <c r="AU339" s="3"/>
      <c r="AV339" s="3"/>
    </row>
    <row r="340" spans="1:48" ht="15.4" x14ac:dyDescent="0.35">
      <c r="A340" s="9"/>
      <c r="B340" s="3"/>
      <c r="C340" s="10"/>
      <c r="D340" s="10"/>
      <c r="E340" s="10"/>
      <c r="F340" s="10"/>
      <c r="G340" s="3"/>
      <c r="H340" s="9"/>
      <c r="I340" s="9"/>
      <c r="J340" s="9"/>
      <c r="K340" s="10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3"/>
      <c r="AM340" s="3"/>
      <c r="AN340" s="10"/>
      <c r="AO340" s="3"/>
      <c r="AP340" s="3"/>
      <c r="AQ340" s="3"/>
      <c r="AR340" s="3"/>
      <c r="AS340" s="3"/>
      <c r="AT340" s="3"/>
      <c r="AU340" s="3"/>
      <c r="AV340" s="3"/>
    </row>
    <row r="341" spans="1:48" ht="15.4" x14ac:dyDescent="0.35">
      <c r="A341" s="9"/>
      <c r="B341" s="3"/>
      <c r="C341" s="10"/>
      <c r="D341" s="10"/>
      <c r="E341" s="10"/>
      <c r="F341" s="10"/>
      <c r="G341" s="3"/>
      <c r="H341" s="9"/>
      <c r="I341" s="9"/>
      <c r="J341" s="9"/>
      <c r="K341" s="10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3"/>
      <c r="AM341" s="3"/>
      <c r="AN341" s="10"/>
      <c r="AO341" s="3"/>
      <c r="AP341" s="3"/>
      <c r="AQ341" s="3"/>
      <c r="AR341" s="3"/>
      <c r="AS341" s="3"/>
      <c r="AT341" s="3"/>
      <c r="AU341" s="3"/>
      <c r="AV341" s="3"/>
    </row>
    <row r="342" spans="1:48" ht="15.4" x14ac:dyDescent="0.35">
      <c r="A342" s="9"/>
      <c r="B342" s="3"/>
      <c r="C342" s="10"/>
      <c r="D342" s="10"/>
      <c r="E342" s="10"/>
      <c r="F342" s="10"/>
      <c r="G342" s="3"/>
      <c r="H342" s="9"/>
      <c r="I342" s="9"/>
      <c r="J342" s="9"/>
      <c r="K342" s="1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3"/>
      <c r="AM342" s="3"/>
      <c r="AN342" s="10"/>
      <c r="AO342" s="3"/>
      <c r="AP342" s="3"/>
      <c r="AQ342" s="3"/>
      <c r="AR342" s="3"/>
      <c r="AS342" s="3"/>
      <c r="AT342" s="3"/>
      <c r="AU342" s="3"/>
      <c r="AV342" s="3"/>
    </row>
    <row r="343" spans="1:48" ht="15.4" x14ac:dyDescent="0.35">
      <c r="A343" s="9"/>
      <c r="B343" s="3"/>
      <c r="C343" s="10"/>
      <c r="D343" s="10"/>
      <c r="E343" s="10"/>
      <c r="F343" s="10"/>
      <c r="G343" s="3"/>
      <c r="H343" s="9"/>
      <c r="I343" s="9"/>
      <c r="J343" s="9"/>
      <c r="K343" s="1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3"/>
      <c r="AM343" s="3"/>
      <c r="AN343" s="10"/>
      <c r="AO343" s="3"/>
      <c r="AP343" s="3"/>
      <c r="AQ343" s="3"/>
      <c r="AR343" s="3"/>
      <c r="AS343" s="3"/>
      <c r="AT343" s="3"/>
      <c r="AU343" s="3"/>
      <c r="AV343" s="3"/>
    </row>
    <row r="344" spans="1:48" ht="15.4" x14ac:dyDescent="0.35">
      <c r="A344" s="9"/>
      <c r="B344" s="3"/>
      <c r="C344" s="10"/>
      <c r="D344" s="10"/>
      <c r="E344" s="10"/>
      <c r="F344" s="10"/>
      <c r="G344" s="3"/>
      <c r="H344" s="9"/>
      <c r="I344" s="9"/>
      <c r="J344" s="9"/>
      <c r="K344" s="1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3"/>
      <c r="AM344" s="3"/>
      <c r="AN344" s="10"/>
      <c r="AO344" s="3"/>
      <c r="AP344" s="3"/>
      <c r="AQ344" s="3"/>
      <c r="AR344" s="3"/>
      <c r="AS344" s="3"/>
      <c r="AT344" s="3"/>
      <c r="AU344" s="3"/>
      <c r="AV344" s="3"/>
    </row>
    <row r="345" spans="1:48" ht="15.4" x14ac:dyDescent="0.35">
      <c r="A345" s="9"/>
      <c r="B345" s="3"/>
      <c r="C345" s="10"/>
      <c r="D345" s="10"/>
      <c r="E345" s="10"/>
      <c r="F345" s="10"/>
      <c r="G345" s="3"/>
      <c r="H345" s="9"/>
      <c r="I345" s="9"/>
      <c r="J345" s="9"/>
      <c r="K345" s="10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3"/>
      <c r="AM345" s="3"/>
      <c r="AN345" s="10"/>
      <c r="AO345" s="3"/>
      <c r="AP345" s="3"/>
      <c r="AQ345" s="3"/>
      <c r="AR345" s="3"/>
      <c r="AS345" s="3"/>
      <c r="AT345" s="3"/>
      <c r="AU345" s="3"/>
      <c r="AV345" s="3"/>
    </row>
    <row r="346" spans="1:48" ht="15.4" x14ac:dyDescent="0.35">
      <c r="A346" s="9"/>
      <c r="B346" s="3"/>
      <c r="C346" s="10"/>
      <c r="D346" s="10"/>
      <c r="E346" s="10"/>
      <c r="F346" s="10"/>
      <c r="G346" s="3"/>
      <c r="H346" s="9"/>
      <c r="I346" s="9"/>
      <c r="J346" s="9"/>
      <c r="K346" s="10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3"/>
      <c r="AM346" s="3"/>
      <c r="AN346" s="10"/>
      <c r="AO346" s="3"/>
      <c r="AP346" s="3"/>
      <c r="AQ346" s="3"/>
      <c r="AR346" s="3"/>
      <c r="AS346" s="3"/>
      <c r="AT346" s="3"/>
      <c r="AU346" s="3"/>
      <c r="AV346" s="3"/>
    </row>
    <row r="347" spans="1:48" ht="15.4" x14ac:dyDescent="0.35">
      <c r="A347" s="9"/>
      <c r="B347" s="3"/>
      <c r="C347" s="10"/>
      <c r="D347" s="10"/>
      <c r="E347" s="10"/>
      <c r="F347" s="10"/>
      <c r="G347" s="3"/>
      <c r="H347" s="9"/>
      <c r="I347" s="9"/>
      <c r="J347" s="9"/>
      <c r="K347" s="10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3"/>
      <c r="AM347" s="3"/>
      <c r="AN347" s="10"/>
      <c r="AO347" s="3"/>
      <c r="AP347" s="3"/>
      <c r="AQ347" s="3"/>
      <c r="AR347" s="3"/>
      <c r="AS347" s="3"/>
      <c r="AT347" s="3"/>
      <c r="AU347" s="3"/>
      <c r="AV347" s="3"/>
    </row>
    <row r="348" spans="1:48" ht="15.4" x14ac:dyDescent="0.35">
      <c r="A348" s="9"/>
      <c r="B348" s="3"/>
      <c r="C348" s="10"/>
      <c r="D348" s="10"/>
      <c r="E348" s="10"/>
      <c r="F348" s="10"/>
      <c r="G348" s="3"/>
      <c r="H348" s="9"/>
      <c r="I348" s="9"/>
      <c r="J348" s="9"/>
      <c r="K348" s="10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3"/>
      <c r="AM348" s="3"/>
      <c r="AN348" s="10"/>
      <c r="AO348" s="3"/>
      <c r="AP348" s="3"/>
      <c r="AQ348" s="3"/>
      <c r="AR348" s="3"/>
      <c r="AS348" s="3"/>
      <c r="AT348" s="3"/>
      <c r="AU348" s="3"/>
      <c r="AV348" s="3"/>
    </row>
    <row r="349" spans="1:48" ht="15.4" x14ac:dyDescent="0.35">
      <c r="A349" s="9"/>
      <c r="B349" s="3"/>
      <c r="C349" s="10"/>
      <c r="D349" s="10"/>
      <c r="E349" s="10"/>
      <c r="F349" s="10"/>
      <c r="G349" s="3"/>
      <c r="H349" s="9"/>
      <c r="I349" s="9"/>
      <c r="J349" s="9"/>
      <c r="K349" s="10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3"/>
      <c r="AM349" s="3"/>
      <c r="AN349" s="10"/>
      <c r="AO349" s="3"/>
      <c r="AP349" s="3"/>
      <c r="AQ349" s="3"/>
      <c r="AR349" s="3"/>
      <c r="AS349" s="3"/>
      <c r="AT349" s="3"/>
      <c r="AU349" s="3"/>
      <c r="AV349" s="3"/>
    </row>
    <row r="350" spans="1:48" ht="15.4" x14ac:dyDescent="0.35">
      <c r="A350" s="9"/>
      <c r="B350" s="3"/>
      <c r="C350" s="10"/>
      <c r="D350" s="10"/>
      <c r="E350" s="10"/>
      <c r="F350" s="10"/>
      <c r="G350" s="3"/>
      <c r="H350" s="9"/>
      <c r="I350" s="9"/>
      <c r="J350" s="9"/>
      <c r="K350" s="10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3"/>
      <c r="AM350" s="3"/>
      <c r="AN350" s="10"/>
      <c r="AO350" s="3"/>
      <c r="AP350" s="3"/>
      <c r="AQ350" s="3"/>
      <c r="AR350" s="3"/>
      <c r="AS350" s="3"/>
      <c r="AT350" s="3"/>
      <c r="AU350" s="3"/>
      <c r="AV350" s="3"/>
    </row>
    <row r="351" spans="1:48" ht="15.4" x14ac:dyDescent="0.35">
      <c r="A351" s="9"/>
      <c r="B351" s="3"/>
      <c r="C351" s="10"/>
      <c r="D351" s="10"/>
      <c r="E351" s="10"/>
      <c r="F351" s="10"/>
      <c r="G351" s="3"/>
      <c r="H351" s="9"/>
      <c r="I351" s="9"/>
      <c r="J351" s="9"/>
      <c r="K351" s="10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3"/>
      <c r="AM351" s="3"/>
      <c r="AN351" s="10"/>
      <c r="AO351" s="3"/>
      <c r="AP351" s="3"/>
      <c r="AQ351" s="3"/>
      <c r="AR351" s="3"/>
      <c r="AS351" s="3"/>
      <c r="AT351" s="3"/>
      <c r="AU351" s="3"/>
      <c r="AV351" s="3"/>
    </row>
    <row r="352" spans="1:48" ht="15.4" x14ac:dyDescent="0.35">
      <c r="A352" s="9"/>
      <c r="B352" s="3"/>
      <c r="C352" s="10"/>
      <c r="D352" s="10"/>
      <c r="E352" s="10"/>
      <c r="F352" s="10"/>
      <c r="G352" s="3"/>
      <c r="H352" s="9"/>
      <c r="I352" s="9"/>
      <c r="J352" s="9"/>
      <c r="K352" s="10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3"/>
      <c r="AM352" s="3"/>
      <c r="AN352" s="10"/>
      <c r="AO352" s="3"/>
      <c r="AP352" s="3"/>
      <c r="AQ352" s="3"/>
      <c r="AR352" s="3"/>
      <c r="AS352" s="3"/>
      <c r="AT352" s="3"/>
      <c r="AU352" s="3"/>
      <c r="AV352" s="3"/>
    </row>
    <row r="353" spans="1:48" ht="15.4" x14ac:dyDescent="0.35">
      <c r="A353" s="9"/>
      <c r="B353" s="3"/>
      <c r="C353" s="10"/>
      <c r="D353" s="10"/>
      <c r="E353" s="10"/>
      <c r="F353" s="10"/>
      <c r="G353" s="3"/>
      <c r="H353" s="9"/>
      <c r="I353" s="9"/>
      <c r="J353" s="9"/>
      <c r="K353" s="10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3"/>
      <c r="AM353" s="3"/>
      <c r="AN353" s="10"/>
      <c r="AO353" s="3"/>
      <c r="AP353" s="3"/>
      <c r="AQ353" s="3"/>
      <c r="AR353" s="3"/>
      <c r="AS353" s="3"/>
      <c r="AT353" s="3"/>
      <c r="AU353" s="3"/>
      <c r="AV353" s="3"/>
    </row>
    <row r="354" spans="1:48" ht="15.4" x14ac:dyDescent="0.35">
      <c r="A354" s="9"/>
      <c r="B354" s="3"/>
      <c r="C354" s="10"/>
      <c r="D354" s="10"/>
      <c r="E354" s="10"/>
      <c r="F354" s="10"/>
      <c r="G354" s="3"/>
      <c r="H354" s="9"/>
      <c r="I354" s="9"/>
      <c r="J354" s="9"/>
      <c r="K354" s="10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3"/>
      <c r="AM354" s="3"/>
      <c r="AN354" s="10"/>
      <c r="AO354" s="3"/>
      <c r="AP354" s="3"/>
      <c r="AQ354" s="3"/>
      <c r="AR354" s="3"/>
      <c r="AS354" s="3"/>
      <c r="AT354" s="3"/>
      <c r="AU354" s="3"/>
      <c r="AV354" s="3"/>
    </row>
    <row r="355" spans="1:48" ht="15.4" x14ac:dyDescent="0.35">
      <c r="A355" s="9"/>
      <c r="B355" s="3"/>
      <c r="C355" s="10"/>
      <c r="D355" s="10"/>
      <c r="E355" s="10"/>
      <c r="F355" s="10"/>
      <c r="G355" s="3"/>
      <c r="H355" s="9"/>
      <c r="I355" s="9"/>
      <c r="J355" s="9"/>
      <c r="K355" s="10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3"/>
      <c r="AM355" s="3"/>
      <c r="AN355" s="10"/>
      <c r="AO355" s="3"/>
      <c r="AP355" s="3"/>
      <c r="AQ355" s="3"/>
      <c r="AR355" s="3"/>
      <c r="AS355" s="3"/>
      <c r="AT355" s="3"/>
      <c r="AU355" s="3"/>
      <c r="AV355" s="3"/>
    </row>
    <row r="356" spans="1:48" ht="15.4" x14ac:dyDescent="0.35">
      <c r="A356" s="9"/>
      <c r="B356" s="3"/>
      <c r="C356" s="10"/>
      <c r="D356" s="10"/>
      <c r="E356" s="10"/>
      <c r="F356" s="10"/>
      <c r="G356" s="3"/>
      <c r="H356" s="9"/>
      <c r="I356" s="9"/>
      <c r="J356" s="9"/>
      <c r="K356" s="10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3"/>
      <c r="AM356" s="3"/>
      <c r="AN356" s="10"/>
      <c r="AO356" s="3"/>
      <c r="AP356" s="3"/>
      <c r="AQ356" s="3"/>
      <c r="AR356" s="3"/>
      <c r="AS356" s="3"/>
      <c r="AT356" s="3"/>
      <c r="AU356" s="3"/>
      <c r="AV356" s="3"/>
    </row>
    <row r="357" spans="1:48" ht="15.4" x14ac:dyDescent="0.35">
      <c r="A357" s="9"/>
      <c r="B357" s="3"/>
      <c r="C357" s="10"/>
      <c r="D357" s="10"/>
      <c r="E357" s="10"/>
      <c r="F357" s="10"/>
      <c r="G357" s="3"/>
      <c r="H357" s="9"/>
      <c r="I357" s="9"/>
      <c r="J357" s="9"/>
      <c r="K357" s="10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3"/>
      <c r="AM357" s="3"/>
      <c r="AN357" s="10"/>
      <c r="AO357" s="3"/>
      <c r="AP357" s="3"/>
      <c r="AQ357" s="3"/>
      <c r="AR357" s="3"/>
      <c r="AS357" s="3"/>
      <c r="AT357" s="3"/>
      <c r="AU357" s="3"/>
      <c r="AV357" s="3"/>
    </row>
    <row r="358" spans="1:48" ht="15.4" x14ac:dyDescent="0.35">
      <c r="A358" s="9"/>
      <c r="B358" s="3"/>
      <c r="C358" s="10"/>
      <c r="D358" s="10"/>
      <c r="E358" s="10"/>
      <c r="F358" s="10"/>
      <c r="G358" s="3"/>
      <c r="H358" s="9"/>
      <c r="I358" s="9"/>
      <c r="J358" s="9"/>
      <c r="K358" s="10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3"/>
      <c r="AM358" s="3"/>
      <c r="AN358" s="10"/>
      <c r="AO358" s="3"/>
      <c r="AP358" s="3"/>
      <c r="AQ358" s="3"/>
      <c r="AR358" s="3"/>
      <c r="AS358" s="3"/>
      <c r="AT358" s="3"/>
      <c r="AU358" s="3"/>
      <c r="AV358" s="3"/>
    </row>
    <row r="359" spans="1:48" ht="15.4" x14ac:dyDescent="0.35">
      <c r="A359" s="9"/>
      <c r="B359" s="3"/>
      <c r="C359" s="10"/>
      <c r="D359" s="10"/>
      <c r="E359" s="10"/>
      <c r="F359" s="10"/>
      <c r="G359" s="3"/>
      <c r="H359" s="9"/>
      <c r="I359" s="9"/>
      <c r="J359" s="9"/>
      <c r="K359" s="1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3"/>
      <c r="AM359" s="3"/>
      <c r="AN359" s="10"/>
      <c r="AO359" s="3"/>
      <c r="AP359" s="3"/>
      <c r="AQ359" s="3"/>
      <c r="AR359" s="3"/>
      <c r="AS359" s="3"/>
      <c r="AT359" s="3"/>
      <c r="AU359" s="3"/>
      <c r="AV359" s="3"/>
    </row>
    <row r="360" spans="1:48" ht="15.4" x14ac:dyDescent="0.35">
      <c r="A360" s="9"/>
      <c r="B360" s="3"/>
      <c r="C360" s="10"/>
      <c r="D360" s="10"/>
      <c r="E360" s="10"/>
      <c r="F360" s="10"/>
      <c r="G360" s="3"/>
      <c r="H360" s="9"/>
      <c r="I360" s="9"/>
      <c r="J360" s="9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3"/>
      <c r="AM360" s="3"/>
      <c r="AN360" s="10"/>
      <c r="AO360" s="3"/>
      <c r="AP360" s="3"/>
      <c r="AQ360" s="3"/>
      <c r="AR360" s="3"/>
      <c r="AS360" s="3"/>
      <c r="AT360" s="3"/>
      <c r="AU360" s="3"/>
      <c r="AV360" s="3"/>
    </row>
    <row r="361" spans="1:48" ht="15.4" x14ac:dyDescent="0.35">
      <c r="A361" s="9"/>
      <c r="B361" s="3"/>
      <c r="C361" s="10"/>
      <c r="D361" s="10"/>
      <c r="E361" s="10"/>
      <c r="F361" s="10"/>
      <c r="G361" s="3"/>
      <c r="H361" s="9"/>
      <c r="I361" s="9"/>
      <c r="J361" s="9"/>
      <c r="K361" s="1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3"/>
      <c r="AM361" s="3"/>
      <c r="AN361" s="10"/>
      <c r="AO361" s="3"/>
      <c r="AP361" s="3"/>
      <c r="AQ361" s="3"/>
      <c r="AR361" s="3"/>
      <c r="AS361" s="3"/>
      <c r="AT361" s="3"/>
      <c r="AU361" s="3"/>
      <c r="AV361" s="3"/>
    </row>
    <row r="362" spans="1:48" ht="15.4" x14ac:dyDescent="0.35">
      <c r="A362" s="9"/>
      <c r="B362" s="3"/>
      <c r="C362" s="10"/>
      <c r="D362" s="10"/>
      <c r="E362" s="10"/>
      <c r="F362" s="10"/>
      <c r="G362" s="3"/>
      <c r="H362" s="9"/>
      <c r="I362" s="9"/>
      <c r="J362" s="9"/>
      <c r="K362" s="1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3"/>
      <c r="AM362" s="3"/>
      <c r="AN362" s="10"/>
      <c r="AO362" s="3"/>
      <c r="AP362" s="3"/>
      <c r="AQ362" s="3"/>
      <c r="AR362" s="3"/>
      <c r="AS362" s="3"/>
      <c r="AT362" s="3"/>
      <c r="AU362" s="3"/>
      <c r="AV362" s="3"/>
    </row>
    <row r="363" spans="1:48" ht="15.4" x14ac:dyDescent="0.35">
      <c r="A363" s="9"/>
      <c r="B363" s="3"/>
      <c r="C363" s="10"/>
      <c r="D363" s="10"/>
      <c r="E363" s="10"/>
      <c r="F363" s="10"/>
      <c r="G363" s="3"/>
      <c r="H363" s="9"/>
      <c r="I363" s="9"/>
      <c r="J363" s="9"/>
      <c r="K363" s="1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3"/>
      <c r="AM363" s="3"/>
      <c r="AN363" s="10"/>
      <c r="AO363" s="3"/>
      <c r="AP363" s="3"/>
      <c r="AQ363" s="3"/>
      <c r="AR363" s="3"/>
      <c r="AS363" s="3"/>
      <c r="AT363" s="3"/>
      <c r="AU363" s="3"/>
      <c r="AV363" s="3"/>
    </row>
    <row r="364" spans="1:48" ht="15.4" x14ac:dyDescent="0.35">
      <c r="A364" s="9"/>
      <c r="B364" s="3"/>
      <c r="C364" s="10"/>
      <c r="D364" s="10"/>
      <c r="E364" s="10"/>
      <c r="F364" s="10"/>
      <c r="G364" s="3"/>
      <c r="H364" s="9"/>
      <c r="I364" s="9"/>
      <c r="J364" s="9"/>
      <c r="K364" s="10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3"/>
      <c r="AM364" s="3"/>
      <c r="AN364" s="10"/>
      <c r="AO364" s="3"/>
      <c r="AP364" s="3"/>
      <c r="AQ364" s="3"/>
      <c r="AR364" s="3"/>
      <c r="AS364" s="3"/>
      <c r="AT364" s="3"/>
      <c r="AU364" s="3"/>
      <c r="AV364" s="3"/>
    </row>
    <row r="365" spans="1:48" ht="15.4" x14ac:dyDescent="0.35">
      <c r="A365" s="9"/>
      <c r="B365" s="3"/>
      <c r="C365" s="10"/>
      <c r="D365" s="10"/>
      <c r="E365" s="10"/>
      <c r="F365" s="10"/>
      <c r="G365" s="3"/>
      <c r="H365" s="9"/>
      <c r="I365" s="9"/>
      <c r="J365" s="9"/>
      <c r="K365" s="10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3"/>
      <c r="AM365" s="3"/>
      <c r="AN365" s="10"/>
      <c r="AO365" s="3"/>
      <c r="AP365" s="3"/>
      <c r="AQ365" s="3"/>
      <c r="AR365" s="3"/>
      <c r="AS365" s="3"/>
      <c r="AT365" s="3"/>
      <c r="AU365" s="3"/>
      <c r="AV365" s="3"/>
    </row>
    <row r="366" spans="1:48" ht="15.4" x14ac:dyDescent="0.35">
      <c r="A366" s="9"/>
      <c r="B366" s="3"/>
      <c r="C366" s="10"/>
      <c r="D366" s="10"/>
      <c r="E366" s="10"/>
      <c r="F366" s="10"/>
      <c r="G366" s="3"/>
      <c r="H366" s="9"/>
      <c r="I366" s="9"/>
      <c r="J366" s="9"/>
      <c r="K366" s="10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3"/>
      <c r="AM366" s="3"/>
      <c r="AN366" s="10"/>
      <c r="AO366" s="3"/>
      <c r="AP366" s="3"/>
      <c r="AQ366" s="3"/>
      <c r="AR366" s="3"/>
      <c r="AS366" s="3"/>
      <c r="AT366" s="3"/>
      <c r="AU366" s="3"/>
      <c r="AV366" s="3"/>
    </row>
    <row r="367" spans="1:48" ht="15.4" x14ac:dyDescent="0.35">
      <c r="A367" s="9"/>
      <c r="B367" s="3"/>
      <c r="C367" s="10"/>
      <c r="D367" s="10"/>
      <c r="E367" s="10"/>
      <c r="F367" s="10"/>
      <c r="G367" s="3"/>
      <c r="H367" s="9"/>
      <c r="I367" s="9"/>
      <c r="J367" s="9"/>
      <c r="K367" s="10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3"/>
      <c r="AM367" s="3"/>
      <c r="AN367" s="10"/>
      <c r="AO367" s="3"/>
      <c r="AP367" s="3"/>
      <c r="AQ367" s="3"/>
      <c r="AR367" s="3"/>
      <c r="AS367" s="3"/>
      <c r="AT367" s="3"/>
      <c r="AU367" s="3"/>
      <c r="AV367" s="3"/>
    </row>
    <row r="368" spans="1:48" ht="15.4" x14ac:dyDescent="0.35">
      <c r="A368" s="9"/>
      <c r="B368" s="3"/>
      <c r="C368" s="10"/>
      <c r="D368" s="10"/>
      <c r="E368" s="10"/>
      <c r="F368" s="10"/>
      <c r="G368" s="3"/>
      <c r="H368" s="9"/>
      <c r="I368" s="9"/>
      <c r="J368" s="9"/>
      <c r="K368" s="10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3"/>
      <c r="AM368" s="3"/>
      <c r="AN368" s="10"/>
      <c r="AO368" s="3"/>
      <c r="AP368" s="3"/>
      <c r="AQ368" s="3"/>
      <c r="AR368" s="3"/>
      <c r="AS368" s="3"/>
      <c r="AT368" s="3"/>
      <c r="AU368" s="3"/>
      <c r="AV368" s="3"/>
    </row>
    <row r="369" spans="1:48" ht="15.4" x14ac:dyDescent="0.35">
      <c r="A369" s="9"/>
      <c r="B369" s="3"/>
      <c r="C369" s="10"/>
      <c r="D369" s="10"/>
      <c r="E369" s="10"/>
      <c r="F369" s="10"/>
      <c r="G369" s="3"/>
      <c r="H369" s="9"/>
      <c r="I369" s="9"/>
      <c r="J369" s="9"/>
      <c r="K369" s="10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3"/>
      <c r="AM369" s="3"/>
      <c r="AN369" s="10"/>
      <c r="AO369" s="3"/>
      <c r="AP369" s="3"/>
      <c r="AQ369" s="3"/>
      <c r="AR369" s="3"/>
      <c r="AS369" s="3"/>
      <c r="AT369" s="3"/>
      <c r="AU369" s="3"/>
      <c r="AV369" s="3"/>
    </row>
    <row r="370" spans="1:48" ht="15.4" x14ac:dyDescent="0.35">
      <c r="A370" s="9"/>
      <c r="B370" s="3"/>
      <c r="C370" s="10"/>
      <c r="D370" s="10"/>
      <c r="E370" s="10"/>
      <c r="F370" s="10"/>
      <c r="G370" s="3"/>
      <c r="H370" s="9"/>
      <c r="I370" s="9"/>
      <c r="J370" s="9"/>
      <c r="K370" s="10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3"/>
      <c r="AM370" s="3"/>
      <c r="AN370" s="10"/>
      <c r="AO370" s="3"/>
      <c r="AP370" s="3"/>
      <c r="AQ370" s="3"/>
      <c r="AR370" s="3"/>
      <c r="AS370" s="3"/>
      <c r="AT370" s="3"/>
      <c r="AU370" s="3"/>
      <c r="AV370" s="3"/>
    </row>
    <row r="371" spans="1:48" ht="15.4" x14ac:dyDescent="0.35">
      <c r="A371" s="9"/>
      <c r="B371" s="3"/>
      <c r="C371" s="10"/>
      <c r="D371" s="10"/>
      <c r="E371" s="10"/>
      <c r="F371" s="10"/>
      <c r="G371" s="3"/>
      <c r="H371" s="9"/>
      <c r="I371" s="9"/>
      <c r="J371" s="9"/>
      <c r="K371" s="10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3"/>
      <c r="AM371" s="3"/>
      <c r="AN371" s="10"/>
      <c r="AO371" s="3"/>
      <c r="AP371" s="3"/>
      <c r="AQ371" s="3"/>
      <c r="AR371" s="3"/>
      <c r="AS371" s="3"/>
      <c r="AT371" s="3"/>
      <c r="AU371" s="3"/>
      <c r="AV371" s="3"/>
    </row>
    <row r="372" spans="1:48" ht="15.4" x14ac:dyDescent="0.35">
      <c r="A372" s="9"/>
      <c r="B372" s="3"/>
      <c r="C372" s="10"/>
      <c r="D372" s="10"/>
      <c r="E372" s="10"/>
      <c r="F372" s="10"/>
      <c r="G372" s="3"/>
      <c r="H372" s="9"/>
      <c r="I372" s="9"/>
      <c r="J372" s="9"/>
      <c r="K372" s="10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3"/>
      <c r="AM372" s="3"/>
      <c r="AN372" s="10"/>
      <c r="AO372" s="3"/>
      <c r="AP372" s="3"/>
      <c r="AQ372" s="3"/>
      <c r="AR372" s="3"/>
      <c r="AS372" s="3"/>
      <c r="AT372" s="3"/>
      <c r="AU372" s="3"/>
      <c r="AV372" s="3"/>
    </row>
    <row r="373" spans="1:48" ht="15.4" x14ac:dyDescent="0.35">
      <c r="A373" s="9"/>
      <c r="B373" s="3"/>
      <c r="C373" s="10"/>
      <c r="D373" s="10"/>
      <c r="E373" s="10"/>
      <c r="F373" s="10"/>
      <c r="G373" s="3"/>
      <c r="H373" s="9"/>
      <c r="I373" s="9"/>
      <c r="J373" s="9"/>
      <c r="K373" s="10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3"/>
      <c r="AM373" s="3"/>
      <c r="AN373" s="10"/>
      <c r="AO373" s="3"/>
      <c r="AP373" s="3"/>
      <c r="AQ373" s="3"/>
      <c r="AR373" s="3"/>
      <c r="AS373" s="3"/>
      <c r="AT373" s="3"/>
      <c r="AU373" s="3"/>
      <c r="AV373" s="3"/>
    </row>
    <row r="374" spans="1:48" ht="15.4" x14ac:dyDescent="0.35">
      <c r="A374" s="9"/>
      <c r="B374" s="3"/>
      <c r="C374" s="10"/>
      <c r="D374" s="10"/>
      <c r="E374" s="10"/>
      <c r="F374" s="10"/>
      <c r="G374" s="3"/>
      <c r="H374" s="9"/>
      <c r="I374" s="9"/>
      <c r="J374" s="9"/>
      <c r="K374" s="10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3"/>
      <c r="AM374" s="3"/>
      <c r="AN374" s="10"/>
      <c r="AO374" s="3"/>
      <c r="AP374" s="3"/>
      <c r="AQ374" s="3"/>
      <c r="AR374" s="3"/>
      <c r="AS374" s="3"/>
      <c r="AT374" s="3"/>
      <c r="AU374" s="3"/>
      <c r="AV374" s="3"/>
    </row>
    <row r="375" spans="1:48" ht="15.4" x14ac:dyDescent="0.35">
      <c r="A375" s="9"/>
      <c r="B375" s="3"/>
      <c r="C375" s="10"/>
      <c r="D375" s="10"/>
      <c r="E375" s="10"/>
      <c r="F375" s="10"/>
      <c r="G375" s="3"/>
      <c r="H375" s="9"/>
      <c r="I375" s="9"/>
      <c r="J375" s="9"/>
      <c r="K375" s="10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3"/>
      <c r="AM375" s="3"/>
      <c r="AN375" s="10"/>
      <c r="AO375" s="3"/>
      <c r="AP375" s="3"/>
      <c r="AQ375" s="3"/>
      <c r="AR375" s="3"/>
      <c r="AS375" s="3"/>
      <c r="AT375" s="3"/>
      <c r="AU375" s="3"/>
      <c r="AV375" s="3"/>
    </row>
    <row r="376" spans="1:48" ht="15.4" x14ac:dyDescent="0.35">
      <c r="A376" s="9"/>
      <c r="B376" s="3"/>
      <c r="C376" s="10"/>
      <c r="D376" s="10"/>
      <c r="E376" s="10"/>
      <c r="F376" s="10"/>
      <c r="G376" s="3"/>
      <c r="H376" s="9"/>
      <c r="I376" s="9"/>
      <c r="J376" s="9"/>
      <c r="K376" s="10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3"/>
      <c r="AM376" s="3"/>
      <c r="AN376" s="10"/>
      <c r="AO376" s="3"/>
      <c r="AP376" s="3"/>
      <c r="AQ376" s="3"/>
      <c r="AR376" s="3"/>
      <c r="AS376" s="3"/>
      <c r="AT376" s="3"/>
      <c r="AU376" s="3"/>
      <c r="AV376" s="3"/>
    </row>
    <row r="377" spans="1:48" ht="15.4" x14ac:dyDescent="0.35">
      <c r="A377" s="9"/>
      <c r="B377" s="3"/>
      <c r="C377" s="10"/>
      <c r="D377" s="10"/>
      <c r="E377" s="10"/>
      <c r="F377" s="10"/>
      <c r="G377" s="3"/>
      <c r="H377" s="9"/>
      <c r="I377" s="9"/>
      <c r="J377" s="9"/>
      <c r="K377" s="10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3"/>
      <c r="AM377" s="3"/>
      <c r="AN377" s="10"/>
      <c r="AO377" s="3"/>
      <c r="AP377" s="3"/>
      <c r="AQ377" s="3"/>
      <c r="AR377" s="3"/>
      <c r="AS377" s="3"/>
      <c r="AT377" s="3"/>
      <c r="AU377" s="3"/>
      <c r="AV377" s="3"/>
    </row>
    <row r="378" spans="1:48" ht="15.4" x14ac:dyDescent="0.35">
      <c r="A378" s="9"/>
      <c r="B378" s="3"/>
      <c r="C378" s="10"/>
      <c r="D378" s="10"/>
      <c r="E378" s="10"/>
      <c r="F378" s="10"/>
      <c r="G378" s="3"/>
      <c r="H378" s="9"/>
      <c r="I378" s="9"/>
      <c r="J378" s="9"/>
      <c r="K378" s="10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3"/>
      <c r="AM378" s="3"/>
      <c r="AN378" s="10"/>
      <c r="AO378" s="3"/>
      <c r="AP378" s="3"/>
      <c r="AQ378" s="3"/>
      <c r="AR378" s="3"/>
      <c r="AS378" s="3"/>
      <c r="AT378" s="3"/>
      <c r="AU378" s="3"/>
      <c r="AV378" s="3"/>
    </row>
    <row r="379" spans="1:48" ht="15.4" x14ac:dyDescent="0.35">
      <c r="A379" s="9"/>
      <c r="B379" s="3"/>
      <c r="C379" s="10"/>
      <c r="D379" s="10"/>
      <c r="E379" s="10"/>
      <c r="F379" s="10"/>
      <c r="G379" s="3"/>
      <c r="H379" s="9"/>
      <c r="I379" s="9"/>
      <c r="J379" s="9"/>
      <c r="K379" s="10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3"/>
      <c r="AM379" s="3"/>
      <c r="AN379" s="10"/>
      <c r="AO379" s="3"/>
      <c r="AP379" s="3"/>
      <c r="AQ379" s="3"/>
      <c r="AR379" s="3"/>
      <c r="AS379" s="3"/>
      <c r="AT379" s="3"/>
      <c r="AU379" s="3"/>
      <c r="AV379" s="3"/>
    </row>
    <row r="380" spans="1:48" ht="15.4" x14ac:dyDescent="0.35">
      <c r="A380" s="9"/>
      <c r="B380" s="3"/>
      <c r="C380" s="10"/>
      <c r="D380" s="10"/>
      <c r="E380" s="10"/>
      <c r="F380" s="10"/>
      <c r="G380" s="3"/>
      <c r="H380" s="9"/>
      <c r="I380" s="9"/>
      <c r="J380" s="9"/>
      <c r="K380" s="10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3"/>
      <c r="AM380" s="3"/>
      <c r="AN380" s="10"/>
      <c r="AO380" s="3"/>
      <c r="AP380" s="3"/>
      <c r="AQ380" s="3"/>
      <c r="AR380" s="3"/>
      <c r="AS380" s="3"/>
      <c r="AT380" s="3"/>
      <c r="AU380" s="3"/>
      <c r="AV380" s="3"/>
    </row>
    <row r="381" spans="1:48" ht="15.4" x14ac:dyDescent="0.35">
      <c r="A381" s="9"/>
      <c r="B381" s="3"/>
      <c r="C381" s="10"/>
      <c r="D381" s="10"/>
      <c r="E381" s="10"/>
      <c r="F381" s="10"/>
      <c r="G381" s="3"/>
      <c r="H381" s="9"/>
      <c r="I381" s="9"/>
      <c r="J381" s="9"/>
      <c r="K381" s="10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3"/>
      <c r="AM381" s="3"/>
      <c r="AN381" s="10"/>
      <c r="AO381" s="3"/>
      <c r="AP381" s="3"/>
      <c r="AQ381" s="3"/>
      <c r="AR381" s="3"/>
      <c r="AS381" s="3"/>
      <c r="AT381" s="3"/>
      <c r="AU381" s="3"/>
      <c r="AV381" s="3"/>
    </row>
    <row r="382" spans="1:48" ht="15.4" x14ac:dyDescent="0.35">
      <c r="A382" s="9"/>
      <c r="B382" s="3"/>
      <c r="C382" s="10"/>
      <c r="D382" s="10"/>
      <c r="E382" s="10"/>
      <c r="F382" s="10"/>
      <c r="G382" s="3"/>
      <c r="H382" s="9"/>
      <c r="I382" s="9"/>
      <c r="J382" s="9"/>
      <c r="K382" s="10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3"/>
      <c r="AM382" s="3"/>
      <c r="AN382" s="10"/>
      <c r="AO382" s="3"/>
      <c r="AP382" s="3"/>
      <c r="AQ382" s="3"/>
      <c r="AR382" s="3"/>
      <c r="AS382" s="3"/>
      <c r="AT382" s="3"/>
      <c r="AU382" s="3"/>
      <c r="AV382" s="3"/>
    </row>
    <row r="383" spans="1:48" ht="15.4" x14ac:dyDescent="0.35">
      <c r="A383" s="9"/>
      <c r="B383" s="3"/>
      <c r="C383" s="10"/>
      <c r="D383" s="10"/>
      <c r="E383" s="10"/>
      <c r="F383" s="10"/>
      <c r="G383" s="3"/>
      <c r="H383" s="9"/>
      <c r="I383" s="9"/>
      <c r="J383" s="9"/>
      <c r="K383" s="10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3"/>
      <c r="AM383" s="3"/>
      <c r="AN383" s="10"/>
      <c r="AO383" s="3"/>
      <c r="AP383" s="3"/>
      <c r="AQ383" s="3"/>
      <c r="AR383" s="3"/>
      <c r="AS383" s="3"/>
      <c r="AT383" s="3"/>
      <c r="AU383" s="3"/>
      <c r="AV383" s="3"/>
    </row>
    <row r="384" spans="1:48" ht="15.4" x14ac:dyDescent="0.35">
      <c r="A384" s="9"/>
      <c r="B384" s="3"/>
      <c r="C384" s="10"/>
      <c r="D384" s="10"/>
      <c r="E384" s="10"/>
      <c r="F384" s="10"/>
      <c r="G384" s="3"/>
      <c r="H384" s="9"/>
      <c r="I384" s="9"/>
      <c r="J384" s="9"/>
      <c r="K384" s="10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3"/>
      <c r="AM384" s="3"/>
      <c r="AN384" s="10"/>
      <c r="AO384" s="3"/>
      <c r="AP384" s="3"/>
      <c r="AQ384" s="3"/>
      <c r="AR384" s="3"/>
      <c r="AS384" s="3"/>
      <c r="AT384" s="3"/>
      <c r="AU384" s="3"/>
      <c r="AV384" s="3"/>
    </row>
    <row r="385" spans="1:48" ht="15.4" x14ac:dyDescent="0.35">
      <c r="A385" s="9"/>
      <c r="B385" s="3"/>
      <c r="C385" s="10"/>
      <c r="D385" s="10"/>
      <c r="E385" s="10"/>
      <c r="F385" s="10"/>
      <c r="G385" s="3"/>
      <c r="H385" s="9"/>
      <c r="I385" s="9"/>
      <c r="J385" s="9"/>
      <c r="K385" s="10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3"/>
      <c r="AM385" s="3"/>
      <c r="AN385" s="10"/>
      <c r="AO385" s="3"/>
      <c r="AP385" s="3"/>
      <c r="AQ385" s="3"/>
      <c r="AR385" s="3"/>
      <c r="AS385" s="3"/>
      <c r="AT385" s="3"/>
      <c r="AU385" s="3"/>
      <c r="AV385" s="3"/>
    </row>
    <row r="386" spans="1:48" ht="15.4" x14ac:dyDescent="0.35">
      <c r="A386" s="9"/>
      <c r="B386" s="3"/>
      <c r="C386" s="10"/>
      <c r="D386" s="10"/>
      <c r="E386" s="10"/>
      <c r="F386" s="10"/>
      <c r="G386" s="3"/>
      <c r="H386" s="9"/>
      <c r="I386" s="9"/>
      <c r="J386" s="9"/>
      <c r="K386" s="10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3"/>
      <c r="AM386" s="3"/>
      <c r="AN386" s="10"/>
      <c r="AO386" s="3"/>
      <c r="AP386" s="3"/>
      <c r="AQ386" s="3"/>
      <c r="AR386" s="3"/>
      <c r="AS386" s="3"/>
      <c r="AT386" s="3"/>
      <c r="AU386" s="3"/>
      <c r="AV386" s="3"/>
    </row>
    <row r="387" spans="1:48" ht="15.4" x14ac:dyDescent="0.35">
      <c r="A387" s="9"/>
      <c r="B387" s="3"/>
      <c r="C387" s="10"/>
      <c r="D387" s="10"/>
      <c r="E387" s="10"/>
      <c r="F387" s="10"/>
      <c r="G387" s="3"/>
      <c r="H387" s="9"/>
      <c r="I387" s="9"/>
      <c r="J387" s="9"/>
      <c r="K387" s="10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3"/>
      <c r="AM387" s="3"/>
      <c r="AN387" s="10"/>
      <c r="AO387" s="3"/>
      <c r="AP387" s="3"/>
      <c r="AQ387" s="3"/>
      <c r="AR387" s="3"/>
      <c r="AS387" s="3"/>
      <c r="AT387" s="3"/>
      <c r="AU387" s="3"/>
      <c r="AV387" s="3"/>
    </row>
    <row r="388" spans="1:48" ht="15.4" x14ac:dyDescent="0.35">
      <c r="A388" s="9"/>
      <c r="B388" s="3"/>
      <c r="C388" s="10"/>
      <c r="D388" s="10"/>
      <c r="E388" s="10"/>
      <c r="F388" s="10"/>
      <c r="G388" s="3"/>
      <c r="H388" s="9"/>
      <c r="I388" s="9"/>
      <c r="J388" s="9"/>
      <c r="K388" s="10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3"/>
      <c r="AM388" s="3"/>
      <c r="AN388" s="10"/>
      <c r="AO388" s="3"/>
      <c r="AP388" s="3"/>
      <c r="AQ388" s="3"/>
      <c r="AR388" s="3"/>
      <c r="AS388" s="3"/>
      <c r="AT388" s="3"/>
      <c r="AU388" s="3"/>
      <c r="AV388" s="3"/>
    </row>
    <row r="389" spans="1:48" ht="15.4" x14ac:dyDescent="0.35">
      <c r="A389" s="9"/>
      <c r="B389" s="3"/>
      <c r="C389" s="10"/>
      <c r="D389" s="10"/>
      <c r="E389" s="10"/>
      <c r="F389" s="10"/>
      <c r="G389" s="3"/>
      <c r="H389" s="9"/>
      <c r="I389" s="9"/>
      <c r="J389" s="9"/>
      <c r="K389" s="10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3"/>
      <c r="AM389" s="3"/>
      <c r="AN389" s="10"/>
      <c r="AO389" s="3"/>
      <c r="AP389" s="3"/>
      <c r="AQ389" s="3"/>
      <c r="AR389" s="3"/>
      <c r="AS389" s="3"/>
      <c r="AT389" s="3"/>
      <c r="AU389" s="3"/>
      <c r="AV389" s="3"/>
    </row>
    <row r="390" spans="1:48" ht="15.4" x14ac:dyDescent="0.35">
      <c r="A390" s="9"/>
      <c r="B390" s="3"/>
      <c r="C390" s="10"/>
      <c r="D390" s="10"/>
      <c r="E390" s="10"/>
      <c r="F390" s="10"/>
      <c r="G390" s="3"/>
      <c r="H390" s="9"/>
      <c r="I390" s="9"/>
      <c r="J390" s="9"/>
      <c r="K390" s="10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3"/>
      <c r="AM390" s="3"/>
      <c r="AN390" s="10"/>
      <c r="AO390" s="3"/>
      <c r="AP390" s="3"/>
      <c r="AQ390" s="3"/>
      <c r="AR390" s="3"/>
      <c r="AS390" s="3"/>
      <c r="AT390" s="3"/>
      <c r="AU390" s="3"/>
      <c r="AV390" s="3"/>
    </row>
    <row r="391" spans="1:48" ht="15.4" x14ac:dyDescent="0.35">
      <c r="A391" s="9"/>
      <c r="B391" s="3"/>
      <c r="C391" s="10"/>
      <c r="D391" s="10"/>
      <c r="E391" s="10"/>
      <c r="F391" s="10"/>
      <c r="G391" s="3"/>
      <c r="H391" s="9"/>
      <c r="I391" s="9"/>
      <c r="J391" s="9"/>
      <c r="K391" s="10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3"/>
      <c r="AM391" s="3"/>
      <c r="AN391" s="10"/>
      <c r="AO391" s="3"/>
      <c r="AP391" s="3"/>
      <c r="AQ391" s="3"/>
      <c r="AR391" s="3"/>
      <c r="AS391" s="3"/>
      <c r="AT391" s="3"/>
      <c r="AU391" s="3"/>
      <c r="AV391" s="3"/>
    </row>
    <row r="392" spans="1:48" ht="15.4" x14ac:dyDescent="0.35">
      <c r="A392" s="9"/>
      <c r="B392" s="3"/>
      <c r="C392" s="10"/>
      <c r="D392" s="10"/>
      <c r="E392" s="10"/>
      <c r="F392" s="10"/>
      <c r="G392" s="3"/>
      <c r="H392" s="9"/>
      <c r="I392" s="9"/>
      <c r="J392" s="9"/>
      <c r="K392" s="10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3"/>
      <c r="AM392" s="3"/>
      <c r="AN392" s="10"/>
      <c r="AO392" s="3"/>
      <c r="AP392" s="3"/>
      <c r="AQ392" s="3"/>
      <c r="AR392" s="3"/>
      <c r="AS392" s="3"/>
      <c r="AT392" s="3"/>
      <c r="AU392" s="3"/>
      <c r="AV392" s="3"/>
    </row>
    <row r="393" spans="1:48" ht="15.4" x14ac:dyDescent="0.35">
      <c r="A393" s="9"/>
      <c r="B393" s="3"/>
      <c r="C393" s="10"/>
      <c r="D393" s="10"/>
      <c r="E393" s="10"/>
      <c r="F393" s="10"/>
      <c r="G393" s="3"/>
      <c r="H393" s="9"/>
      <c r="I393" s="9"/>
      <c r="J393" s="9"/>
      <c r="K393" s="10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3"/>
      <c r="AM393" s="3"/>
      <c r="AN393" s="10"/>
      <c r="AO393" s="3"/>
      <c r="AP393" s="3"/>
      <c r="AQ393" s="3"/>
      <c r="AR393" s="3"/>
      <c r="AS393" s="3"/>
      <c r="AT393" s="3"/>
      <c r="AU393" s="3"/>
      <c r="AV393" s="3"/>
    </row>
    <row r="394" spans="1:48" ht="15.4" x14ac:dyDescent="0.35">
      <c r="A394" s="9"/>
      <c r="B394" s="3"/>
      <c r="C394" s="10"/>
      <c r="D394" s="10"/>
      <c r="E394" s="10"/>
      <c r="F394" s="10"/>
      <c r="G394" s="3"/>
      <c r="H394" s="9"/>
      <c r="I394" s="9"/>
      <c r="J394" s="9"/>
      <c r="K394" s="10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3"/>
      <c r="AM394" s="3"/>
      <c r="AN394" s="10"/>
      <c r="AO394" s="3"/>
      <c r="AP394" s="3"/>
      <c r="AQ394" s="3"/>
      <c r="AR394" s="3"/>
      <c r="AS394" s="3"/>
      <c r="AT394" s="3"/>
      <c r="AU394" s="3"/>
      <c r="AV394" s="3"/>
    </row>
    <row r="395" spans="1:48" ht="15.4" x14ac:dyDescent="0.35">
      <c r="A395" s="9"/>
      <c r="B395" s="3"/>
      <c r="C395" s="10"/>
      <c r="D395" s="10"/>
      <c r="E395" s="10"/>
      <c r="F395" s="10"/>
      <c r="G395" s="3"/>
      <c r="H395" s="9"/>
      <c r="I395" s="9"/>
      <c r="J395" s="9"/>
      <c r="K395" s="10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3"/>
      <c r="AM395" s="3"/>
      <c r="AN395" s="10"/>
      <c r="AO395" s="3"/>
      <c r="AP395" s="3"/>
      <c r="AQ395" s="3"/>
      <c r="AR395" s="3"/>
      <c r="AS395" s="3"/>
      <c r="AT395" s="3"/>
      <c r="AU395" s="3"/>
      <c r="AV395" s="3"/>
    </row>
    <row r="396" spans="1:48" ht="15.4" x14ac:dyDescent="0.35">
      <c r="A396" s="9"/>
      <c r="B396" s="3"/>
      <c r="C396" s="10"/>
      <c r="D396" s="10"/>
      <c r="E396" s="10"/>
      <c r="F396" s="10"/>
      <c r="G396" s="3"/>
      <c r="H396" s="9"/>
      <c r="I396" s="9"/>
      <c r="J396" s="9"/>
      <c r="K396" s="10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3"/>
      <c r="AM396" s="3"/>
      <c r="AN396" s="10"/>
      <c r="AO396" s="3"/>
      <c r="AP396" s="3"/>
      <c r="AQ396" s="3"/>
      <c r="AR396" s="3"/>
      <c r="AS396" s="3"/>
      <c r="AT396" s="3"/>
      <c r="AU396" s="3"/>
      <c r="AV396" s="3"/>
    </row>
    <row r="397" spans="1:48" ht="15.4" x14ac:dyDescent="0.35">
      <c r="A397" s="9"/>
      <c r="B397" s="3"/>
      <c r="C397" s="10"/>
      <c r="D397" s="10"/>
      <c r="E397" s="10"/>
      <c r="F397" s="10"/>
      <c r="G397" s="3"/>
      <c r="H397" s="9"/>
      <c r="I397" s="9"/>
      <c r="J397" s="9"/>
      <c r="K397" s="10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3"/>
      <c r="AM397" s="3"/>
      <c r="AN397" s="10"/>
      <c r="AO397" s="3"/>
      <c r="AP397" s="3"/>
      <c r="AQ397" s="3"/>
      <c r="AR397" s="3"/>
      <c r="AS397" s="3"/>
      <c r="AT397" s="3"/>
      <c r="AU397" s="3"/>
      <c r="AV397" s="3"/>
    </row>
    <row r="398" spans="1:48" ht="15.4" x14ac:dyDescent="0.35">
      <c r="A398" s="9"/>
      <c r="B398" s="3"/>
      <c r="C398" s="10"/>
      <c r="D398" s="10"/>
      <c r="E398" s="10"/>
      <c r="F398" s="10"/>
      <c r="G398" s="3"/>
      <c r="H398" s="9"/>
      <c r="I398" s="9"/>
      <c r="J398" s="9"/>
      <c r="K398" s="10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3"/>
      <c r="AM398" s="3"/>
      <c r="AN398" s="10"/>
      <c r="AO398" s="3"/>
      <c r="AP398" s="3"/>
      <c r="AQ398" s="3"/>
      <c r="AR398" s="3"/>
      <c r="AS398" s="3"/>
      <c r="AT398" s="3"/>
      <c r="AU398" s="3"/>
      <c r="AV398" s="3"/>
    </row>
    <row r="399" spans="1:48" ht="15.4" x14ac:dyDescent="0.35">
      <c r="A399" s="9"/>
      <c r="B399" s="3"/>
      <c r="C399" s="10"/>
      <c r="D399" s="10"/>
      <c r="E399" s="10"/>
      <c r="F399" s="10"/>
      <c r="G399" s="3"/>
      <c r="H399" s="9"/>
      <c r="I399" s="9"/>
      <c r="J399" s="9"/>
      <c r="K399" s="10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3"/>
      <c r="AM399" s="3"/>
      <c r="AN399" s="10"/>
      <c r="AO399" s="3"/>
      <c r="AP399" s="3"/>
      <c r="AQ399" s="3"/>
      <c r="AR399" s="3"/>
      <c r="AS399" s="3"/>
      <c r="AT399" s="3"/>
      <c r="AU399" s="3"/>
      <c r="AV399" s="3"/>
    </row>
    <row r="400" spans="1:48" ht="15.4" x14ac:dyDescent="0.35">
      <c r="A400" s="9"/>
      <c r="B400" s="3"/>
      <c r="C400" s="10"/>
      <c r="D400" s="10"/>
      <c r="E400" s="10"/>
      <c r="F400" s="10"/>
      <c r="G400" s="3"/>
      <c r="H400" s="9"/>
      <c r="I400" s="9"/>
      <c r="J400" s="9"/>
      <c r="K400" s="10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3"/>
      <c r="AM400" s="3"/>
      <c r="AN400" s="10"/>
      <c r="AO400" s="3"/>
      <c r="AP400" s="3"/>
      <c r="AQ400" s="3"/>
      <c r="AR400" s="3"/>
      <c r="AS400" s="3"/>
      <c r="AT400" s="3"/>
      <c r="AU400" s="3"/>
      <c r="AV400" s="3"/>
    </row>
    <row r="401" spans="1:48" ht="15.4" x14ac:dyDescent="0.35">
      <c r="A401" s="9"/>
      <c r="B401" s="3"/>
      <c r="C401" s="10"/>
      <c r="D401" s="10"/>
      <c r="E401" s="10"/>
      <c r="F401" s="10"/>
      <c r="G401" s="3"/>
      <c r="H401" s="9"/>
      <c r="I401" s="9"/>
      <c r="J401" s="9"/>
      <c r="K401" s="10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3"/>
      <c r="AM401" s="3"/>
      <c r="AN401" s="10"/>
      <c r="AO401" s="3"/>
      <c r="AP401" s="3"/>
      <c r="AQ401" s="3"/>
      <c r="AR401" s="3"/>
      <c r="AS401" s="3"/>
      <c r="AT401" s="3"/>
      <c r="AU401" s="3"/>
      <c r="AV401" s="3"/>
    </row>
    <row r="402" spans="1:48" ht="15.4" x14ac:dyDescent="0.35">
      <c r="A402" s="9"/>
      <c r="B402" s="3"/>
      <c r="C402" s="10"/>
      <c r="D402" s="10"/>
      <c r="E402" s="10"/>
      <c r="F402" s="10"/>
      <c r="G402" s="3"/>
      <c r="H402" s="9"/>
      <c r="I402" s="9"/>
      <c r="J402" s="9"/>
      <c r="K402" s="10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3"/>
      <c r="AM402" s="3"/>
      <c r="AN402" s="10"/>
      <c r="AO402" s="3"/>
      <c r="AP402" s="3"/>
      <c r="AQ402" s="3"/>
      <c r="AR402" s="3"/>
      <c r="AS402" s="3"/>
      <c r="AT402" s="3"/>
      <c r="AU402" s="3"/>
      <c r="AV402" s="3"/>
    </row>
    <row r="403" spans="1:48" ht="15.4" x14ac:dyDescent="0.35">
      <c r="A403" s="9"/>
      <c r="B403" s="3"/>
      <c r="C403" s="10"/>
      <c r="D403" s="10"/>
      <c r="E403" s="10"/>
      <c r="F403" s="10"/>
      <c r="G403" s="3"/>
      <c r="H403" s="9"/>
      <c r="I403" s="9"/>
      <c r="J403" s="9"/>
      <c r="K403" s="10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3"/>
      <c r="AM403" s="3"/>
      <c r="AN403" s="10"/>
      <c r="AO403" s="3"/>
      <c r="AP403" s="3"/>
      <c r="AQ403" s="3"/>
      <c r="AR403" s="3"/>
      <c r="AS403" s="3"/>
      <c r="AT403" s="3"/>
      <c r="AU403" s="3"/>
      <c r="AV403" s="3"/>
    </row>
    <row r="404" spans="1:48" ht="15.4" x14ac:dyDescent="0.35">
      <c r="A404" s="9"/>
      <c r="B404" s="3"/>
      <c r="C404" s="10"/>
      <c r="D404" s="10"/>
      <c r="E404" s="10"/>
      <c r="F404" s="10"/>
      <c r="G404" s="3"/>
      <c r="H404" s="9"/>
      <c r="I404" s="9"/>
      <c r="J404" s="9"/>
      <c r="K404" s="10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3"/>
      <c r="AM404" s="3"/>
      <c r="AN404" s="10"/>
      <c r="AO404" s="3"/>
      <c r="AP404" s="3"/>
      <c r="AQ404" s="3"/>
      <c r="AR404" s="3"/>
      <c r="AS404" s="3"/>
      <c r="AT404" s="3"/>
      <c r="AU404" s="3"/>
      <c r="AV404" s="3"/>
    </row>
    <row r="405" spans="1:48" ht="15.4" x14ac:dyDescent="0.35">
      <c r="A405" s="9"/>
      <c r="B405" s="3"/>
      <c r="C405" s="10"/>
      <c r="D405" s="10"/>
      <c r="E405" s="10"/>
      <c r="F405" s="10"/>
      <c r="G405" s="3"/>
      <c r="H405" s="9"/>
      <c r="I405" s="9"/>
      <c r="J405" s="9"/>
      <c r="K405" s="10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3"/>
      <c r="AM405" s="3"/>
      <c r="AN405" s="10"/>
      <c r="AO405" s="3"/>
      <c r="AP405" s="3"/>
      <c r="AQ405" s="3"/>
      <c r="AR405" s="3"/>
      <c r="AS405" s="3"/>
      <c r="AT405" s="3"/>
      <c r="AU405" s="3"/>
      <c r="AV405" s="3"/>
    </row>
    <row r="406" spans="1:48" ht="15.4" x14ac:dyDescent="0.35">
      <c r="A406" s="9"/>
      <c r="B406" s="3"/>
      <c r="C406" s="10"/>
      <c r="D406" s="10"/>
      <c r="E406" s="10"/>
      <c r="F406" s="10"/>
      <c r="G406" s="3"/>
      <c r="H406" s="9"/>
      <c r="I406" s="9"/>
      <c r="J406" s="9"/>
      <c r="K406" s="10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3"/>
      <c r="AM406" s="3"/>
      <c r="AN406" s="10"/>
      <c r="AO406" s="3"/>
      <c r="AP406" s="3"/>
      <c r="AQ406" s="3"/>
      <c r="AR406" s="3"/>
      <c r="AS406" s="3"/>
      <c r="AT406" s="3"/>
      <c r="AU406" s="3"/>
      <c r="AV406" s="3"/>
    </row>
    <row r="407" spans="1:48" ht="15.4" x14ac:dyDescent="0.35">
      <c r="A407" s="9"/>
      <c r="B407" s="3"/>
      <c r="C407" s="10"/>
      <c r="D407" s="10"/>
      <c r="E407" s="10"/>
      <c r="F407" s="10"/>
      <c r="G407" s="3"/>
      <c r="H407" s="9"/>
      <c r="I407" s="9"/>
      <c r="J407" s="9"/>
      <c r="K407" s="10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3"/>
      <c r="AM407" s="3"/>
      <c r="AN407" s="10"/>
      <c r="AO407" s="3"/>
      <c r="AP407" s="3"/>
      <c r="AQ407" s="3"/>
      <c r="AR407" s="3"/>
      <c r="AS407" s="3"/>
      <c r="AT407" s="3"/>
      <c r="AU407" s="3"/>
      <c r="AV407" s="3"/>
    </row>
    <row r="408" spans="1:48" ht="15.4" x14ac:dyDescent="0.35">
      <c r="A408" s="9"/>
      <c r="B408" s="3"/>
      <c r="C408" s="10"/>
      <c r="D408" s="10"/>
      <c r="E408" s="10"/>
      <c r="F408" s="10"/>
      <c r="G408" s="3"/>
      <c r="H408" s="9"/>
      <c r="I408" s="9"/>
      <c r="J408" s="9"/>
      <c r="K408" s="10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3"/>
      <c r="AM408" s="3"/>
      <c r="AN408" s="10"/>
      <c r="AO408" s="3"/>
      <c r="AP408" s="3"/>
      <c r="AQ408" s="3"/>
      <c r="AR408" s="3"/>
      <c r="AS408" s="3"/>
      <c r="AT408" s="3"/>
      <c r="AU408" s="3"/>
      <c r="AV408" s="3"/>
    </row>
    <row r="409" spans="1:48" ht="15.4" x14ac:dyDescent="0.35">
      <c r="A409" s="9"/>
      <c r="B409" s="3"/>
      <c r="C409" s="10"/>
      <c r="D409" s="10"/>
      <c r="E409" s="10"/>
      <c r="F409" s="10"/>
      <c r="G409" s="3"/>
      <c r="H409" s="9"/>
      <c r="I409" s="9"/>
      <c r="J409" s="9"/>
      <c r="K409" s="10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3"/>
      <c r="AM409" s="3"/>
      <c r="AN409" s="10"/>
      <c r="AO409" s="3"/>
      <c r="AP409" s="3"/>
      <c r="AQ409" s="3"/>
      <c r="AR409" s="3"/>
      <c r="AS409" s="3"/>
      <c r="AT409" s="3"/>
      <c r="AU409" s="3"/>
      <c r="AV409" s="3"/>
    </row>
    <row r="410" spans="1:48" ht="15.4" x14ac:dyDescent="0.35">
      <c r="A410" s="9"/>
      <c r="B410" s="3"/>
      <c r="C410" s="10"/>
      <c r="D410" s="10"/>
      <c r="E410" s="10"/>
      <c r="F410" s="10"/>
      <c r="G410" s="3"/>
      <c r="H410" s="9"/>
      <c r="I410" s="9"/>
      <c r="J410" s="9"/>
      <c r="K410" s="10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3"/>
      <c r="AM410" s="3"/>
      <c r="AN410" s="10"/>
      <c r="AO410" s="3"/>
      <c r="AP410" s="3"/>
      <c r="AQ410" s="3"/>
      <c r="AR410" s="3"/>
      <c r="AS410" s="3"/>
      <c r="AT410" s="3"/>
      <c r="AU410" s="3"/>
      <c r="AV410" s="3"/>
    </row>
    <row r="411" spans="1:48" ht="15.4" x14ac:dyDescent="0.35">
      <c r="A411" s="9"/>
      <c r="B411" s="3"/>
      <c r="C411" s="10"/>
      <c r="D411" s="10"/>
      <c r="E411" s="10"/>
      <c r="F411" s="10"/>
      <c r="G411" s="3"/>
      <c r="H411" s="9"/>
      <c r="I411" s="9"/>
      <c r="J411" s="9"/>
      <c r="K411" s="10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3"/>
      <c r="AM411" s="3"/>
      <c r="AN411" s="10"/>
      <c r="AO411" s="3"/>
      <c r="AP411" s="3"/>
      <c r="AQ411" s="3"/>
      <c r="AR411" s="3"/>
      <c r="AS411" s="3"/>
      <c r="AT411" s="3"/>
      <c r="AU411" s="3"/>
      <c r="AV411" s="3"/>
    </row>
    <row r="412" spans="1:48" ht="15.4" x14ac:dyDescent="0.35">
      <c r="A412" s="9"/>
      <c r="B412" s="3"/>
      <c r="C412" s="10"/>
      <c r="D412" s="10"/>
      <c r="E412" s="10"/>
      <c r="F412" s="10"/>
      <c r="G412" s="3"/>
      <c r="H412" s="9"/>
      <c r="I412" s="9"/>
      <c r="J412" s="9"/>
      <c r="K412" s="10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3"/>
      <c r="AM412" s="3"/>
      <c r="AN412" s="10"/>
      <c r="AO412" s="3"/>
      <c r="AP412" s="3"/>
      <c r="AQ412" s="3"/>
      <c r="AR412" s="3"/>
      <c r="AS412" s="3"/>
      <c r="AT412" s="3"/>
      <c r="AU412" s="3"/>
      <c r="AV412" s="3"/>
    </row>
    <row r="413" spans="1:48" ht="15.4" x14ac:dyDescent="0.35">
      <c r="A413" s="9"/>
      <c r="B413" s="3"/>
      <c r="C413" s="10"/>
      <c r="D413" s="10"/>
      <c r="E413" s="10"/>
      <c r="F413" s="10"/>
      <c r="G413" s="3"/>
      <c r="H413" s="9"/>
      <c r="I413" s="9"/>
      <c r="J413" s="9"/>
      <c r="K413" s="10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3"/>
      <c r="AM413" s="3"/>
      <c r="AN413" s="10"/>
      <c r="AO413" s="3"/>
      <c r="AP413" s="3"/>
      <c r="AQ413" s="3"/>
      <c r="AR413" s="3"/>
      <c r="AS413" s="3"/>
      <c r="AT413" s="3"/>
      <c r="AU413" s="3"/>
      <c r="AV413" s="3"/>
    </row>
    <row r="414" spans="1:48" ht="15.4" x14ac:dyDescent="0.35">
      <c r="A414" s="9"/>
      <c r="B414" s="3"/>
      <c r="C414" s="10"/>
      <c r="D414" s="10"/>
      <c r="E414" s="10"/>
      <c r="F414" s="10"/>
      <c r="G414" s="3"/>
      <c r="H414" s="9"/>
      <c r="I414" s="9"/>
      <c r="J414" s="9"/>
      <c r="K414" s="10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3"/>
      <c r="AM414" s="3"/>
      <c r="AN414" s="10"/>
      <c r="AO414" s="3"/>
      <c r="AP414" s="3"/>
      <c r="AQ414" s="3"/>
      <c r="AR414" s="3"/>
      <c r="AS414" s="3"/>
      <c r="AT414" s="3"/>
      <c r="AU414" s="3"/>
      <c r="AV414" s="3"/>
    </row>
    <row r="415" spans="1:48" ht="15.4" x14ac:dyDescent="0.35">
      <c r="A415" s="9"/>
      <c r="B415" s="3"/>
      <c r="C415" s="10"/>
      <c r="D415" s="10"/>
      <c r="E415" s="10"/>
      <c r="F415" s="10"/>
      <c r="G415" s="3"/>
      <c r="H415" s="9"/>
      <c r="I415" s="9"/>
      <c r="J415" s="9"/>
      <c r="K415" s="10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3"/>
      <c r="AM415" s="3"/>
      <c r="AN415" s="10"/>
      <c r="AO415" s="3"/>
      <c r="AP415" s="3"/>
      <c r="AQ415" s="3"/>
      <c r="AR415" s="3"/>
      <c r="AS415" s="3"/>
      <c r="AT415" s="3"/>
      <c r="AU415" s="3"/>
      <c r="AV415" s="3"/>
    </row>
    <row r="416" spans="1:48" ht="15.4" x14ac:dyDescent="0.35">
      <c r="A416" s="9"/>
      <c r="B416" s="3"/>
      <c r="C416" s="10"/>
      <c r="D416" s="10"/>
      <c r="E416" s="10"/>
      <c r="F416" s="10"/>
      <c r="G416" s="3"/>
      <c r="H416" s="9"/>
      <c r="I416" s="9"/>
      <c r="J416" s="9"/>
      <c r="K416" s="10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3"/>
      <c r="AM416" s="3"/>
      <c r="AN416" s="10"/>
      <c r="AO416" s="3"/>
      <c r="AP416" s="3"/>
      <c r="AQ416" s="3"/>
      <c r="AR416" s="3"/>
      <c r="AS416" s="3"/>
      <c r="AT416" s="3"/>
      <c r="AU416" s="3"/>
      <c r="AV416" s="3"/>
    </row>
    <row r="417" spans="1:48" ht="15.4" x14ac:dyDescent="0.35">
      <c r="A417" s="9"/>
      <c r="B417" s="3"/>
      <c r="C417" s="10"/>
      <c r="D417" s="10"/>
      <c r="E417" s="10"/>
      <c r="F417" s="10"/>
      <c r="G417" s="3"/>
      <c r="H417" s="9"/>
      <c r="I417" s="9"/>
      <c r="J417" s="9"/>
      <c r="K417" s="10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3"/>
      <c r="AM417" s="3"/>
      <c r="AN417" s="10"/>
      <c r="AO417" s="3"/>
      <c r="AP417" s="3"/>
      <c r="AQ417" s="3"/>
      <c r="AR417" s="3"/>
      <c r="AS417" s="3"/>
      <c r="AT417" s="3"/>
      <c r="AU417" s="3"/>
      <c r="AV417" s="3"/>
    </row>
    <row r="418" spans="1:48" ht="15.4" x14ac:dyDescent="0.35">
      <c r="A418" s="9"/>
      <c r="B418" s="3"/>
      <c r="C418" s="10"/>
      <c r="D418" s="10"/>
      <c r="E418" s="10"/>
      <c r="F418" s="10"/>
      <c r="G418" s="3"/>
      <c r="H418" s="9"/>
      <c r="I418" s="9"/>
      <c r="J418" s="9"/>
      <c r="K418" s="10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3"/>
      <c r="AM418" s="3"/>
      <c r="AN418" s="10"/>
      <c r="AO418" s="3"/>
      <c r="AP418" s="3"/>
      <c r="AQ418" s="3"/>
      <c r="AR418" s="3"/>
      <c r="AS418" s="3"/>
      <c r="AT418" s="3"/>
      <c r="AU418" s="3"/>
      <c r="AV418" s="3"/>
    </row>
    <row r="419" spans="1:48" ht="15.4" x14ac:dyDescent="0.35">
      <c r="A419" s="9"/>
      <c r="B419" s="3"/>
      <c r="C419" s="10"/>
      <c r="D419" s="10"/>
      <c r="E419" s="10"/>
      <c r="F419" s="10"/>
      <c r="G419" s="3"/>
      <c r="H419" s="9"/>
      <c r="I419" s="9"/>
      <c r="J419" s="9"/>
      <c r="K419" s="10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3"/>
      <c r="AM419" s="3"/>
      <c r="AN419" s="10"/>
      <c r="AO419" s="3"/>
      <c r="AP419" s="3"/>
      <c r="AQ419" s="3"/>
      <c r="AR419" s="3"/>
      <c r="AS419" s="3"/>
      <c r="AT419" s="3"/>
      <c r="AU419" s="3"/>
      <c r="AV419" s="3"/>
    </row>
    <row r="420" spans="1:48" ht="15.4" x14ac:dyDescent="0.35">
      <c r="A420" s="9"/>
      <c r="B420" s="3"/>
      <c r="C420" s="10"/>
      <c r="D420" s="10"/>
      <c r="E420" s="10"/>
      <c r="F420" s="10"/>
      <c r="G420" s="3"/>
      <c r="H420" s="9"/>
      <c r="I420" s="9"/>
      <c r="J420" s="9"/>
      <c r="K420" s="10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3"/>
      <c r="AM420" s="3"/>
      <c r="AN420" s="10"/>
      <c r="AO420" s="3"/>
      <c r="AP420" s="3"/>
      <c r="AQ420" s="3"/>
      <c r="AR420" s="3"/>
      <c r="AS420" s="3"/>
      <c r="AT420" s="3"/>
      <c r="AU420" s="3"/>
      <c r="AV420" s="3"/>
    </row>
    <row r="421" spans="1:48" ht="15.4" x14ac:dyDescent="0.35">
      <c r="A421" s="9"/>
      <c r="B421" s="3"/>
      <c r="C421" s="10"/>
      <c r="D421" s="10"/>
      <c r="E421" s="10"/>
      <c r="F421" s="10"/>
      <c r="G421" s="3"/>
      <c r="H421" s="9"/>
      <c r="I421" s="9"/>
      <c r="J421" s="9"/>
      <c r="K421" s="10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3"/>
      <c r="AM421" s="3"/>
      <c r="AN421" s="10"/>
      <c r="AO421" s="3"/>
      <c r="AP421" s="3"/>
      <c r="AQ421" s="3"/>
      <c r="AR421" s="3"/>
      <c r="AS421" s="3"/>
      <c r="AT421" s="3"/>
      <c r="AU421" s="3"/>
      <c r="AV421" s="3"/>
    </row>
    <row r="422" spans="1:48" ht="15.4" x14ac:dyDescent="0.35">
      <c r="A422" s="9"/>
      <c r="B422" s="3"/>
      <c r="C422" s="10"/>
      <c r="D422" s="10"/>
      <c r="E422" s="10"/>
      <c r="F422" s="10"/>
      <c r="G422" s="3"/>
      <c r="H422" s="9"/>
      <c r="I422" s="9"/>
      <c r="J422" s="9"/>
      <c r="K422" s="10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3"/>
      <c r="AM422" s="3"/>
      <c r="AN422" s="10"/>
      <c r="AO422" s="3"/>
      <c r="AP422" s="3"/>
      <c r="AQ422" s="3"/>
      <c r="AR422" s="3"/>
      <c r="AS422" s="3"/>
      <c r="AT422" s="3"/>
      <c r="AU422" s="3"/>
      <c r="AV422" s="3"/>
    </row>
    <row r="423" spans="1:48" ht="15.4" x14ac:dyDescent="0.35">
      <c r="A423" s="9"/>
      <c r="B423" s="3"/>
      <c r="C423" s="10"/>
      <c r="D423" s="10"/>
      <c r="E423" s="10"/>
      <c r="F423" s="10"/>
      <c r="G423" s="3"/>
      <c r="H423" s="9"/>
      <c r="I423" s="9"/>
      <c r="J423" s="9"/>
      <c r="K423" s="10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3"/>
      <c r="AM423" s="3"/>
      <c r="AN423" s="10"/>
      <c r="AO423" s="3"/>
      <c r="AP423" s="3"/>
      <c r="AQ423" s="3"/>
      <c r="AR423" s="3"/>
      <c r="AS423" s="3"/>
      <c r="AT423" s="3"/>
      <c r="AU423" s="3"/>
      <c r="AV423" s="3"/>
    </row>
    <row r="424" spans="1:48" ht="15.4" x14ac:dyDescent="0.35">
      <c r="A424" s="9"/>
      <c r="B424" s="3"/>
      <c r="C424" s="10"/>
      <c r="D424" s="10"/>
      <c r="E424" s="10"/>
      <c r="F424" s="10"/>
      <c r="G424" s="3"/>
      <c r="H424" s="9"/>
      <c r="I424" s="9"/>
      <c r="J424" s="9"/>
      <c r="K424" s="10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3"/>
      <c r="AM424" s="3"/>
      <c r="AN424" s="10"/>
      <c r="AO424" s="3"/>
      <c r="AP424" s="3"/>
      <c r="AQ424" s="3"/>
      <c r="AR424" s="3"/>
      <c r="AS424" s="3"/>
      <c r="AT424" s="3"/>
      <c r="AU424" s="3"/>
      <c r="AV424" s="3"/>
    </row>
    <row r="425" spans="1:48" ht="15.4" x14ac:dyDescent="0.35">
      <c r="A425" s="9"/>
      <c r="B425" s="3"/>
      <c r="C425" s="10"/>
      <c r="D425" s="10"/>
      <c r="E425" s="10"/>
      <c r="F425" s="10"/>
      <c r="G425" s="3"/>
      <c r="H425" s="9"/>
      <c r="I425" s="9"/>
      <c r="J425" s="9"/>
      <c r="K425" s="10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3"/>
      <c r="AM425" s="3"/>
      <c r="AN425" s="10"/>
      <c r="AO425" s="3"/>
      <c r="AP425" s="3"/>
      <c r="AQ425" s="3"/>
      <c r="AR425" s="3"/>
      <c r="AS425" s="3"/>
      <c r="AT425" s="3"/>
      <c r="AU425" s="3"/>
      <c r="AV425" s="3"/>
    </row>
    <row r="426" spans="1:48" ht="15.4" x14ac:dyDescent="0.35">
      <c r="A426" s="9"/>
      <c r="B426" s="3"/>
      <c r="C426" s="10"/>
      <c r="D426" s="10"/>
      <c r="E426" s="10"/>
      <c r="F426" s="10"/>
      <c r="G426" s="3"/>
      <c r="H426" s="9"/>
      <c r="I426" s="9"/>
      <c r="J426" s="9"/>
      <c r="K426" s="10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3"/>
      <c r="AM426" s="3"/>
      <c r="AN426" s="10"/>
      <c r="AO426" s="3"/>
      <c r="AP426" s="3"/>
      <c r="AQ426" s="3"/>
      <c r="AR426" s="3"/>
      <c r="AS426" s="3"/>
      <c r="AT426" s="3"/>
      <c r="AU426" s="3"/>
      <c r="AV426" s="3"/>
    </row>
    <row r="427" spans="1:48" ht="15.4" x14ac:dyDescent="0.35">
      <c r="A427" s="9"/>
      <c r="B427" s="3"/>
      <c r="C427" s="10"/>
      <c r="D427" s="10"/>
      <c r="E427" s="10"/>
      <c r="F427" s="10"/>
      <c r="G427" s="3"/>
      <c r="H427" s="9"/>
      <c r="I427" s="9"/>
      <c r="J427" s="9"/>
      <c r="K427" s="10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3"/>
      <c r="AM427" s="3"/>
      <c r="AN427" s="10"/>
      <c r="AO427" s="3"/>
      <c r="AP427" s="3"/>
      <c r="AQ427" s="3"/>
      <c r="AR427" s="3"/>
      <c r="AS427" s="3"/>
      <c r="AT427" s="3"/>
      <c r="AU427" s="3"/>
      <c r="AV427" s="3"/>
    </row>
    <row r="428" spans="1:48" ht="15.4" x14ac:dyDescent="0.35">
      <c r="A428" s="9"/>
      <c r="B428" s="3"/>
      <c r="C428" s="10"/>
      <c r="D428" s="10"/>
      <c r="E428" s="10"/>
      <c r="F428" s="10"/>
      <c r="G428" s="3"/>
      <c r="H428" s="9"/>
      <c r="I428" s="9"/>
      <c r="J428" s="9"/>
      <c r="K428" s="10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3"/>
      <c r="AM428" s="3"/>
      <c r="AN428" s="10"/>
      <c r="AO428" s="3"/>
      <c r="AP428" s="3"/>
      <c r="AQ428" s="3"/>
      <c r="AR428" s="3"/>
      <c r="AS428" s="3"/>
      <c r="AT428" s="3"/>
      <c r="AU428" s="3"/>
      <c r="AV428" s="3"/>
    </row>
    <row r="429" spans="1:48" ht="15.4" x14ac:dyDescent="0.35">
      <c r="A429" s="9"/>
      <c r="B429" s="3"/>
      <c r="C429" s="10"/>
      <c r="D429" s="10"/>
      <c r="E429" s="10"/>
      <c r="F429" s="10"/>
      <c r="G429" s="3"/>
      <c r="H429" s="9"/>
      <c r="I429" s="9"/>
      <c r="J429" s="9"/>
      <c r="K429" s="10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3"/>
      <c r="AM429" s="3"/>
      <c r="AN429" s="10"/>
      <c r="AO429" s="3"/>
      <c r="AP429" s="3"/>
      <c r="AQ429" s="3"/>
      <c r="AR429" s="3"/>
      <c r="AS429" s="3"/>
      <c r="AT429" s="3"/>
      <c r="AU429" s="3"/>
      <c r="AV429" s="3"/>
    </row>
    <row r="430" spans="1:48" ht="15.4" x14ac:dyDescent="0.35">
      <c r="A430" s="9"/>
      <c r="B430" s="3"/>
      <c r="C430" s="10"/>
      <c r="D430" s="10"/>
      <c r="E430" s="10"/>
      <c r="F430" s="10"/>
      <c r="G430" s="3"/>
      <c r="H430" s="9"/>
      <c r="I430" s="9"/>
      <c r="J430" s="9"/>
      <c r="K430" s="10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3"/>
      <c r="AM430" s="3"/>
      <c r="AN430" s="10"/>
      <c r="AO430" s="3"/>
      <c r="AP430" s="3"/>
      <c r="AQ430" s="3"/>
      <c r="AR430" s="3"/>
      <c r="AS430" s="3"/>
      <c r="AT430" s="3"/>
      <c r="AU430" s="3"/>
      <c r="AV430" s="3"/>
    </row>
    <row r="431" spans="1:48" ht="15.4" x14ac:dyDescent="0.35">
      <c r="A431" s="9"/>
      <c r="B431" s="3"/>
      <c r="C431" s="10"/>
      <c r="D431" s="10"/>
      <c r="E431" s="10"/>
      <c r="F431" s="10"/>
      <c r="G431" s="3"/>
      <c r="H431" s="9"/>
      <c r="I431" s="9"/>
      <c r="J431" s="9"/>
      <c r="K431" s="10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3"/>
      <c r="AM431" s="3"/>
      <c r="AN431" s="10"/>
      <c r="AO431" s="3"/>
      <c r="AP431" s="3"/>
      <c r="AQ431" s="3"/>
      <c r="AR431" s="3"/>
      <c r="AS431" s="3"/>
      <c r="AT431" s="3"/>
      <c r="AU431" s="3"/>
      <c r="AV431" s="3"/>
    </row>
    <row r="432" spans="1:48" ht="15.4" x14ac:dyDescent="0.35">
      <c r="A432" s="9"/>
      <c r="B432" s="3"/>
      <c r="C432" s="10"/>
      <c r="D432" s="10"/>
      <c r="E432" s="10"/>
      <c r="F432" s="10"/>
      <c r="G432" s="3"/>
      <c r="H432" s="9"/>
      <c r="I432" s="9"/>
      <c r="J432" s="9"/>
      <c r="K432" s="10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3"/>
      <c r="AM432" s="3"/>
      <c r="AN432" s="10"/>
      <c r="AO432" s="3"/>
      <c r="AP432" s="3"/>
      <c r="AQ432" s="3"/>
      <c r="AR432" s="3"/>
      <c r="AS432" s="3"/>
      <c r="AT432" s="3"/>
      <c r="AU432" s="3"/>
      <c r="AV432" s="3"/>
    </row>
    <row r="433" spans="1:48" ht="15.4" x14ac:dyDescent="0.35">
      <c r="A433" s="9"/>
      <c r="B433" s="3"/>
      <c r="C433" s="10"/>
      <c r="D433" s="10"/>
      <c r="E433" s="10"/>
      <c r="F433" s="10"/>
      <c r="G433" s="3"/>
      <c r="H433" s="9"/>
      <c r="I433" s="9"/>
      <c r="J433" s="9"/>
      <c r="K433" s="10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3"/>
      <c r="AM433" s="3"/>
      <c r="AN433" s="10"/>
      <c r="AO433" s="3"/>
      <c r="AP433" s="3"/>
      <c r="AQ433" s="3"/>
      <c r="AR433" s="3"/>
      <c r="AS433" s="3"/>
      <c r="AT433" s="3"/>
      <c r="AU433" s="3"/>
      <c r="AV433" s="3"/>
    </row>
    <row r="434" spans="1:48" ht="15.4" x14ac:dyDescent="0.35">
      <c r="A434" s="9"/>
      <c r="B434" s="3"/>
      <c r="C434" s="10"/>
      <c r="D434" s="10"/>
      <c r="E434" s="10"/>
      <c r="F434" s="10"/>
      <c r="G434" s="3"/>
      <c r="H434" s="9"/>
      <c r="I434" s="9"/>
      <c r="J434" s="9"/>
      <c r="K434" s="10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3"/>
      <c r="AM434" s="3"/>
      <c r="AN434" s="10"/>
      <c r="AO434" s="3"/>
      <c r="AP434" s="3"/>
      <c r="AQ434" s="3"/>
      <c r="AR434" s="3"/>
      <c r="AS434" s="3"/>
      <c r="AT434" s="3"/>
      <c r="AU434" s="3"/>
      <c r="AV434" s="3"/>
    </row>
    <row r="435" spans="1:48" ht="15.4" x14ac:dyDescent="0.35">
      <c r="A435" s="9"/>
      <c r="B435" s="3"/>
      <c r="C435" s="10"/>
      <c r="D435" s="10"/>
      <c r="E435" s="10"/>
      <c r="F435" s="10"/>
      <c r="G435" s="3"/>
      <c r="H435" s="9"/>
      <c r="I435" s="9"/>
      <c r="J435" s="9"/>
      <c r="K435" s="10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3"/>
      <c r="AM435" s="3"/>
      <c r="AN435" s="10"/>
      <c r="AO435" s="3"/>
      <c r="AP435" s="3"/>
      <c r="AQ435" s="3"/>
      <c r="AR435" s="3"/>
      <c r="AS435" s="3"/>
      <c r="AT435" s="3"/>
      <c r="AU435" s="3"/>
      <c r="AV435" s="3"/>
    </row>
    <row r="436" spans="1:48" ht="15.4" x14ac:dyDescent="0.35">
      <c r="A436" s="9"/>
      <c r="B436" s="3"/>
      <c r="C436" s="10"/>
      <c r="D436" s="10"/>
      <c r="E436" s="10"/>
      <c r="F436" s="10"/>
      <c r="G436" s="3"/>
      <c r="H436" s="9"/>
      <c r="I436" s="9"/>
      <c r="J436" s="9"/>
      <c r="K436" s="10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3"/>
      <c r="AM436" s="3"/>
      <c r="AN436" s="10"/>
      <c r="AO436" s="3"/>
      <c r="AP436" s="3"/>
      <c r="AQ436" s="3"/>
      <c r="AR436" s="3"/>
      <c r="AS436" s="3"/>
      <c r="AT436" s="3"/>
      <c r="AU436" s="3"/>
      <c r="AV436" s="3"/>
    </row>
    <row r="437" spans="1:48" ht="15.4" x14ac:dyDescent="0.35">
      <c r="A437" s="9"/>
      <c r="B437" s="3"/>
      <c r="C437" s="10"/>
      <c r="D437" s="10"/>
      <c r="E437" s="10"/>
      <c r="F437" s="10"/>
      <c r="G437" s="3"/>
      <c r="H437" s="9"/>
      <c r="I437" s="9"/>
      <c r="J437" s="9"/>
      <c r="K437" s="10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3"/>
      <c r="AM437" s="3"/>
      <c r="AN437" s="10"/>
      <c r="AO437" s="3"/>
      <c r="AP437" s="3"/>
      <c r="AQ437" s="3"/>
      <c r="AR437" s="3"/>
      <c r="AS437" s="3"/>
      <c r="AT437" s="3"/>
      <c r="AU437" s="3"/>
      <c r="AV437" s="3"/>
    </row>
    <row r="438" spans="1:48" ht="15.4" x14ac:dyDescent="0.35">
      <c r="A438" s="9"/>
      <c r="B438" s="3"/>
      <c r="C438" s="10"/>
      <c r="D438" s="10"/>
      <c r="E438" s="10"/>
      <c r="F438" s="10"/>
      <c r="G438" s="3"/>
      <c r="H438" s="9"/>
      <c r="I438" s="9"/>
      <c r="J438" s="9"/>
      <c r="K438" s="10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3"/>
      <c r="AM438" s="3"/>
      <c r="AN438" s="10"/>
      <c r="AO438" s="3"/>
      <c r="AP438" s="3"/>
      <c r="AQ438" s="3"/>
      <c r="AR438" s="3"/>
      <c r="AS438" s="3"/>
      <c r="AT438" s="3"/>
      <c r="AU438" s="3"/>
      <c r="AV438" s="3"/>
    </row>
    <row r="439" spans="1:48" ht="15.4" x14ac:dyDescent="0.35">
      <c r="A439" s="9"/>
      <c r="B439" s="3"/>
      <c r="C439" s="10"/>
      <c r="D439" s="10"/>
      <c r="E439" s="10"/>
      <c r="F439" s="10"/>
      <c r="G439" s="3"/>
      <c r="H439" s="9"/>
      <c r="I439" s="9"/>
      <c r="J439" s="9"/>
      <c r="K439" s="10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3"/>
      <c r="AM439" s="3"/>
      <c r="AN439" s="10"/>
      <c r="AO439" s="3"/>
      <c r="AP439" s="3"/>
      <c r="AQ439" s="3"/>
      <c r="AR439" s="3"/>
      <c r="AS439" s="3"/>
      <c r="AT439" s="3"/>
      <c r="AU439" s="3"/>
      <c r="AV439" s="3"/>
    </row>
    <row r="440" spans="1:48" ht="15.4" x14ac:dyDescent="0.35">
      <c r="A440" s="9"/>
      <c r="B440" s="3"/>
      <c r="C440" s="10"/>
      <c r="D440" s="10"/>
      <c r="E440" s="10"/>
      <c r="F440" s="10"/>
      <c r="G440" s="3"/>
      <c r="H440" s="9"/>
      <c r="I440" s="9"/>
      <c r="J440" s="9"/>
      <c r="K440" s="10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3"/>
      <c r="AM440" s="3"/>
      <c r="AN440" s="10"/>
      <c r="AO440" s="3"/>
      <c r="AP440" s="3"/>
      <c r="AQ440" s="3"/>
      <c r="AR440" s="3"/>
      <c r="AS440" s="3"/>
      <c r="AT440" s="3"/>
      <c r="AU440" s="3"/>
      <c r="AV440" s="3"/>
    </row>
    <row r="441" spans="1:48" ht="15.4" x14ac:dyDescent="0.35">
      <c r="A441" s="9"/>
      <c r="B441" s="3"/>
      <c r="C441" s="10"/>
      <c r="D441" s="10"/>
      <c r="E441" s="10"/>
      <c r="F441" s="10"/>
      <c r="G441" s="3"/>
      <c r="H441" s="9"/>
      <c r="I441" s="9"/>
      <c r="J441" s="9"/>
      <c r="K441" s="10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3"/>
      <c r="AM441" s="3"/>
      <c r="AN441" s="10"/>
      <c r="AO441" s="3"/>
      <c r="AP441" s="3"/>
      <c r="AQ441" s="3"/>
      <c r="AR441" s="3"/>
      <c r="AS441" s="3"/>
      <c r="AT441" s="3"/>
      <c r="AU441" s="3"/>
      <c r="AV441" s="3"/>
    </row>
    <row r="442" spans="1:48" ht="15.4" x14ac:dyDescent="0.35">
      <c r="A442" s="9"/>
      <c r="B442" s="3"/>
      <c r="C442" s="10"/>
      <c r="D442" s="10"/>
      <c r="E442" s="10"/>
      <c r="F442" s="10"/>
      <c r="G442" s="3"/>
      <c r="H442" s="9"/>
      <c r="I442" s="9"/>
      <c r="J442" s="9"/>
      <c r="K442" s="10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3"/>
      <c r="AM442" s="3"/>
      <c r="AN442" s="10"/>
      <c r="AO442" s="3"/>
      <c r="AP442" s="3"/>
      <c r="AQ442" s="3"/>
      <c r="AR442" s="3"/>
      <c r="AS442" s="3"/>
      <c r="AT442" s="3"/>
      <c r="AU442" s="3"/>
      <c r="AV442" s="3"/>
    </row>
    <row r="443" spans="1:48" ht="15.4" x14ac:dyDescent="0.35">
      <c r="A443" s="9"/>
      <c r="B443" s="3"/>
      <c r="C443" s="10"/>
      <c r="D443" s="10"/>
      <c r="E443" s="10"/>
      <c r="F443" s="10"/>
      <c r="G443" s="3"/>
      <c r="H443" s="9"/>
      <c r="I443" s="9"/>
      <c r="J443" s="9"/>
      <c r="K443" s="10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3"/>
      <c r="AM443" s="3"/>
      <c r="AN443" s="10"/>
      <c r="AO443" s="3"/>
      <c r="AP443" s="3"/>
      <c r="AQ443" s="3"/>
      <c r="AR443" s="3"/>
      <c r="AS443" s="3"/>
      <c r="AT443" s="3"/>
      <c r="AU443" s="3"/>
      <c r="AV443" s="3"/>
    </row>
    <row r="444" spans="1:48" ht="15.4" x14ac:dyDescent="0.35">
      <c r="A444" s="9"/>
      <c r="B444" s="3"/>
      <c r="C444" s="10"/>
      <c r="D444" s="10"/>
      <c r="E444" s="10"/>
      <c r="F444" s="10"/>
      <c r="G444" s="3"/>
      <c r="H444" s="9"/>
      <c r="I444" s="9"/>
      <c r="J444" s="9"/>
      <c r="K444" s="10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3"/>
      <c r="AM444" s="3"/>
      <c r="AN444" s="10"/>
      <c r="AO444" s="3"/>
      <c r="AP444" s="3"/>
      <c r="AQ444" s="3"/>
      <c r="AR444" s="3"/>
      <c r="AS444" s="3"/>
      <c r="AT444" s="3"/>
      <c r="AU444" s="3"/>
      <c r="AV444" s="3"/>
    </row>
    <row r="445" spans="1:48" ht="15.4" x14ac:dyDescent="0.35">
      <c r="A445" s="9"/>
      <c r="B445" s="3"/>
      <c r="C445" s="10"/>
      <c r="D445" s="10"/>
      <c r="E445" s="10"/>
      <c r="F445" s="10"/>
      <c r="G445" s="3"/>
      <c r="H445" s="9"/>
      <c r="I445" s="9"/>
      <c r="J445" s="9"/>
      <c r="K445" s="10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3"/>
      <c r="AM445" s="3"/>
      <c r="AN445" s="10"/>
      <c r="AO445" s="3"/>
      <c r="AP445" s="3"/>
      <c r="AQ445" s="3"/>
      <c r="AR445" s="3"/>
      <c r="AS445" s="3"/>
      <c r="AT445" s="3"/>
      <c r="AU445" s="3"/>
      <c r="AV445" s="3"/>
    </row>
    <row r="446" spans="1:48" ht="15.4" x14ac:dyDescent="0.35">
      <c r="A446" s="9"/>
      <c r="B446" s="3"/>
      <c r="C446" s="10"/>
      <c r="D446" s="10"/>
      <c r="E446" s="10"/>
      <c r="F446" s="10"/>
      <c r="G446" s="3"/>
      <c r="H446" s="9"/>
      <c r="I446" s="9"/>
      <c r="J446" s="9"/>
      <c r="K446" s="10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3"/>
      <c r="AM446" s="3"/>
      <c r="AN446" s="10"/>
      <c r="AO446" s="3"/>
      <c r="AP446" s="3"/>
      <c r="AQ446" s="3"/>
      <c r="AR446" s="3"/>
      <c r="AS446" s="3"/>
      <c r="AT446" s="3"/>
      <c r="AU446" s="3"/>
      <c r="AV446" s="3"/>
    </row>
    <row r="447" spans="1:48" ht="15.4" x14ac:dyDescent="0.35">
      <c r="A447" s="9"/>
      <c r="B447" s="3"/>
      <c r="C447" s="10"/>
      <c r="D447" s="10"/>
      <c r="E447" s="10"/>
      <c r="F447" s="10"/>
      <c r="G447" s="3"/>
      <c r="H447" s="9"/>
      <c r="I447" s="9"/>
      <c r="J447" s="9"/>
      <c r="K447" s="10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3"/>
      <c r="AM447" s="3"/>
      <c r="AN447" s="10"/>
      <c r="AO447" s="3"/>
      <c r="AP447" s="3"/>
      <c r="AQ447" s="3"/>
      <c r="AR447" s="3"/>
      <c r="AS447" s="3"/>
      <c r="AT447" s="3"/>
      <c r="AU447" s="3"/>
      <c r="AV447" s="3"/>
    </row>
    <row r="448" spans="1:48" ht="15.4" x14ac:dyDescent="0.35">
      <c r="A448" s="9"/>
      <c r="B448" s="3"/>
      <c r="C448" s="10"/>
      <c r="D448" s="10"/>
      <c r="E448" s="10"/>
      <c r="F448" s="10"/>
      <c r="G448" s="3"/>
      <c r="H448" s="9"/>
      <c r="I448" s="9"/>
      <c r="J448" s="9"/>
      <c r="K448" s="10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3"/>
      <c r="AM448" s="3"/>
      <c r="AN448" s="10"/>
      <c r="AO448" s="3"/>
      <c r="AP448" s="3"/>
      <c r="AQ448" s="3"/>
      <c r="AR448" s="3"/>
      <c r="AS448" s="3"/>
      <c r="AT448" s="3"/>
      <c r="AU448" s="3"/>
      <c r="AV448" s="3"/>
    </row>
    <row r="449" spans="1:48" ht="15.4" x14ac:dyDescent="0.35">
      <c r="A449" s="9"/>
      <c r="B449" s="3"/>
      <c r="C449" s="10"/>
      <c r="D449" s="10"/>
      <c r="E449" s="10"/>
      <c r="F449" s="10"/>
      <c r="G449" s="3"/>
      <c r="H449" s="9"/>
      <c r="I449" s="9"/>
      <c r="J449" s="9"/>
      <c r="K449" s="10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3"/>
      <c r="AM449" s="3"/>
      <c r="AN449" s="10"/>
      <c r="AO449" s="3"/>
      <c r="AP449" s="3"/>
      <c r="AQ449" s="3"/>
      <c r="AR449" s="3"/>
      <c r="AS449" s="3"/>
      <c r="AT449" s="3"/>
      <c r="AU449" s="3"/>
      <c r="AV449" s="3"/>
    </row>
    <row r="450" spans="1:48" ht="15.4" x14ac:dyDescent="0.35">
      <c r="A450" s="9"/>
      <c r="B450" s="3"/>
      <c r="C450" s="10"/>
      <c r="D450" s="10"/>
      <c r="E450" s="10"/>
      <c r="F450" s="10"/>
      <c r="G450" s="3"/>
      <c r="H450" s="9"/>
      <c r="I450" s="9"/>
      <c r="J450" s="9"/>
      <c r="K450" s="10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3"/>
      <c r="AM450" s="3"/>
      <c r="AN450" s="10"/>
      <c r="AO450" s="3"/>
      <c r="AP450" s="3"/>
      <c r="AQ450" s="3"/>
      <c r="AR450" s="3"/>
      <c r="AS450" s="3"/>
      <c r="AT450" s="3"/>
      <c r="AU450" s="3"/>
      <c r="AV450" s="3"/>
    </row>
    <row r="451" spans="1:48" ht="15.4" x14ac:dyDescent="0.35">
      <c r="A451" s="9"/>
      <c r="B451" s="3"/>
      <c r="C451" s="10"/>
      <c r="D451" s="10"/>
      <c r="E451" s="10"/>
      <c r="F451" s="10"/>
      <c r="G451" s="3"/>
      <c r="H451" s="9"/>
      <c r="I451" s="9"/>
      <c r="J451" s="9"/>
      <c r="K451" s="10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3"/>
      <c r="AM451" s="3"/>
      <c r="AN451" s="10"/>
      <c r="AO451" s="3"/>
      <c r="AP451" s="3"/>
      <c r="AQ451" s="3"/>
      <c r="AR451" s="3"/>
      <c r="AS451" s="3"/>
      <c r="AT451" s="3"/>
      <c r="AU451" s="3"/>
      <c r="AV451" s="3"/>
    </row>
    <row r="452" spans="1:48" ht="15.4" x14ac:dyDescent="0.35">
      <c r="A452" s="9"/>
      <c r="B452" s="3"/>
      <c r="C452" s="10"/>
      <c r="D452" s="10"/>
      <c r="E452" s="10"/>
      <c r="F452" s="10"/>
      <c r="G452" s="3"/>
      <c r="H452" s="9"/>
      <c r="I452" s="9"/>
      <c r="J452" s="9"/>
      <c r="K452" s="10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3"/>
      <c r="AM452" s="3"/>
      <c r="AN452" s="10"/>
      <c r="AO452" s="3"/>
      <c r="AP452" s="3"/>
      <c r="AQ452" s="3"/>
      <c r="AR452" s="3"/>
      <c r="AS452" s="3"/>
      <c r="AT452" s="3"/>
      <c r="AU452" s="3"/>
      <c r="AV452" s="3"/>
    </row>
    <row r="453" spans="1:48" ht="15.4" x14ac:dyDescent="0.35">
      <c r="A453" s="9"/>
      <c r="B453" s="3"/>
      <c r="C453" s="10"/>
      <c r="D453" s="10"/>
      <c r="E453" s="10"/>
      <c r="F453" s="10"/>
      <c r="G453" s="3"/>
      <c r="H453" s="9"/>
      <c r="I453" s="9"/>
      <c r="J453" s="9"/>
      <c r="K453" s="10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3"/>
      <c r="AM453" s="3"/>
      <c r="AN453" s="10"/>
      <c r="AO453" s="3"/>
      <c r="AP453" s="3"/>
      <c r="AQ453" s="3"/>
      <c r="AR453" s="3"/>
      <c r="AS453" s="3"/>
      <c r="AT453" s="3"/>
      <c r="AU453" s="3"/>
      <c r="AV453" s="3"/>
    </row>
    <row r="454" spans="1:48" ht="15.4" x14ac:dyDescent="0.35">
      <c r="A454" s="9"/>
      <c r="B454" s="3"/>
      <c r="C454" s="10"/>
      <c r="D454" s="10"/>
      <c r="E454" s="10"/>
      <c r="F454" s="10"/>
      <c r="G454" s="3"/>
      <c r="H454" s="9"/>
      <c r="I454" s="9"/>
      <c r="J454" s="9"/>
      <c r="K454" s="10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3"/>
      <c r="AM454" s="3"/>
      <c r="AN454" s="10"/>
      <c r="AO454" s="3"/>
      <c r="AP454" s="3"/>
      <c r="AQ454" s="3"/>
      <c r="AR454" s="3"/>
      <c r="AS454" s="3"/>
      <c r="AT454" s="3"/>
      <c r="AU454" s="3"/>
      <c r="AV454" s="3"/>
    </row>
    <row r="455" spans="1:48" ht="15.4" x14ac:dyDescent="0.35">
      <c r="A455" s="9"/>
      <c r="B455" s="3"/>
      <c r="C455" s="10"/>
      <c r="D455" s="10"/>
      <c r="E455" s="10"/>
      <c r="F455" s="10"/>
      <c r="G455" s="3"/>
      <c r="H455" s="9"/>
      <c r="I455" s="9"/>
      <c r="J455" s="9"/>
      <c r="K455" s="10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3"/>
      <c r="AM455" s="3"/>
      <c r="AN455" s="10"/>
      <c r="AO455" s="3"/>
      <c r="AP455" s="3"/>
      <c r="AQ455" s="3"/>
      <c r="AR455" s="3"/>
      <c r="AS455" s="3"/>
      <c r="AT455" s="3"/>
      <c r="AU455" s="3"/>
      <c r="AV455" s="3"/>
    </row>
    <row r="456" spans="1:48" ht="15.4" x14ac:dyDescent="0.35">
      <c r="A456" s="9"/>
      <c r="B456" s="3"/>
      <c r="C456" s="10"/>
      <c r="D456" s="10"/>
      <c r="E456" s="10"/>
      <c r="F456" s="10"/>
      <c r="G456" s="3"/>
      <c r="H456" s="9"/>
      <c r="I456" s="9"/>
      <c r="J456" s="9"/>
      <c r="K456" s="10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3"/>
      <c r="AM456" s="3"/>
      <c r="AN456" s="10"/>
      <c r="AO456" s="3"/>
      <c r="AP456" s="3"/>
      <c r="AQ456" s="3"/>
      <c r="AR456" s="3"/>
      <c r="AS456" s="3"/>
      <c r="AT456" s="3"/>
      <c r="AU456" s="3"/>
      <c r="AV456" s="3"/>
    </row>
    <row r="457" spans="1:48" ht="15.4" x14ac:dyDescent="0.35">
      <c r="A457" s="9"/>
      <c r="B457" s="3"/>
      <c r="C457" s="10"/>
      <c r="D457" s="10"/>
      <c r="E457" s="10"/>
      <c r="F457" s="10"/>
      <c r="G457" s="3"/>
      <c r="H457" s="9"/>
      <c r="I457" s="9"/>
      <c r="J457" s="9"/>
      <c r="K457" s="10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3"/>
      <c r="AM457" s="3"/>
      <c r="AN457" s="10"/>
      <c r="AO457" s="3"/>
      <c r="AP457" s="3"/>
      <c r="AQ457" s="3"/>
      <c r="AR457" s="3"/>
      <c r="AS457" s="3"/>
      <c r="AT457" s="3"/>
      <c r="AU457" s="3"/>
      <c r="AV457" s="3"/>
    </row>
    <row r="458" spans="1:48" ht="15.4" x14ac:dyDescent="0.35">
      <c r="A458" s="9"/>
      <c r="B458" s="3"/>
      <c r="C458" s="10"/>
      <c r="D458" s="10"/>
      <c r="E458" s="10"/>
      <c r="F458" s="10"/>
      <c r="G458" s="3"/>
      <c r="H458" s="9"/>
      <c r="I458" s="9"/>
      <c r="J458" s="9"/>
      <c r="K458" s="10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3"/>
      <c r="AM458" s="3"/>
      <c r="AN458" s="10"/>
      <c r="AO458" s="3"/>
      <c r="AP458" s="3"/>
      <c r="AQ458" s="3"/>
      <c r="AR458" s="3"/>
      <c r="AS458" s="3"/>
      <c r="AT458" s="3"/>
      <c r="AU458" s="3"/>
      <c r="AV458" s="3"/>
    </row>
    <row r="459" spans="1:48" ht="15.4" x14ac:dyDescent="0.35">
      <c r="A459" s="9"/>
      <c r="B459" s="3"/>
      <c r="C459" s="10"/>
      <c r="D459" s="10"/>
      <c r="E459" s="10"/>
      <c r="F459" s="10"/>
      <c r="G459" s="3"/>
      <c r="H459" s="9"/>
      <c r="I459" s="9"/>
      <c r="J459" s="9"/>
      <c r="K459" s="10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3"/>
      <c r="AM459" s="3"/>
      <c r="AN459" s="10"/>
      <c r="AO459" s="3"/>
      <c r="AP459" s="3"/>
      <c r="AQ459" s="3"/>
      <c r="AR459" s="3"/>
      <c r="AS459" s="3"/>
      <c r="AT459" s="3"/>
      <c r="AU459" s="3"/>
      <c r="AV459" s="3"/>
    </row>
    <row r="460" spans="1:48" ht="15.4" x14ac:dyDescent="0.35">
      <c r="A460" s="9"/>
      <c r="B460" s="3"/>
      <c r="C460" s="10"/>
      <c r="D460" s="10"/>
      <c r="E460" s="10"/>
      <c r="F460" s="10"/>
      <c r="G460" s="3"/>
      <c r="H460" s="9"/>
      <c r="I460" s="9"/>
      <c r="J460" s="9"/>
      <c r="K460" s="10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3"/>
      <c r="AM460" s="3"/>
      <c r="AN460" s="10"/>
      <c r="AO460" s="3"/>
      <c r="AP460" s="3"/>
      <c r="AQ460" s="3"/>
      <c r="AR460" s="3"/>
      <c r="AS460" s="3"/>
      <c r="AT460" s="3"/>
      <c r="AU460" s="3"/>
      <c r="AV460" s="3"/>
    </row>
    <row r="461" spans="1:48" ht="15.4" x14ac:dyDescent="0.35">
      <c r="A461" s="9"/>
      <c r="B461" s="3"/>
      <c r="C461" s="10"/>
      <c r="D461" s="10"/>
      <c r="E461" s="10"/>
      <c r="F461" s="10"/>
      <c r="G461" s="3"/>
      <c r="H461" s="9"/>
      <c r="I461" s="9"/>
      <c r="J461" s="9"/>
      <c r="K461" s="10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3"/>
      <c r="AM461" s="3"/>
      <c r="AN461" s="10"/>
      <c r="AO461" s="3"/>
      <c r="AP461" s="3"/>
      <c r="AQ461" s="3"/>
      <c r="AR461" s="3"/>
      <c r="AS461" s="3"/>
      <c r="AT461" s="3"/>
      <c r="AU461" s="3"/>
      <c r="AV461" s="3"/>
    </row>
    <row r="462" spans="1:48" ht="15.4" x14ac:dyDescent="0.35">
      <c r="A462" s="9"/>
      <c r="B462" s="3"/>
      <c r="C462" s="10"/>
      <c r="D462" s="10"/>
      <c r="E462" s="10"/>
      <c r="F462" s="10"/>
      <c r="G462" s="3"/>
      <c r="H462" s="9"/>
      <c r="I462" s="9"/>
      <c r="J462" s="9"/>
      <c r="K462" s="10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3"/>
      <c r="AM462" s="3"/>
      <c r="AN462" s="10"/>
      <c r="AO462" s="3"/>
      <c r="AP462" s="3"/>
      <c r="AQ462" s="3"/>
      <c r="AR462" s="3"/>
      <c r="AS462" s="3"/>
      <c r="AT462" s="3"/>
      <c r="AU462" s="3"/>
      <c r="AV462" s="3"/>
    </row>
    <row r="463" spans="1:48" ht="15.4" x14ac:dyDescent="0.35">
      <c r="A463" s="9"/>
      <c r="B463" s="3"/>
      <c r="C463" s="10"/>
      <c r="D463" s="10"/>
      <c r="E463" s="10"/>
      <c r="F463" s="10"/>
      <c r="G463" s="3"/>
      <c r="H463" s="9"/>
      <c r="I463" s="9"/>
      <c r="J463" s="9"/>
      <c r="K463" s="10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3"/>
      <c r="AM463" s="3"/>
      <c r="AN463" s="10"/>
      <c r="AO463" s="3"/>
      <c r="AP463" s="3"/>
      <c r="AQ463" s="3"/>
      <c r="AR463" s="3"/>
      <c r="AS463" s="3"/>
      <c r="AT463" s="3"/>
      <c r="AU463" s="3"/>
      <c r="AV463" s="3"/>
    </row>
    <row r="464" spans="1:48" ht="15.4" x14ac:dyDescent="0.35">
      <c r="A464" s="9"/>
      <c r="B464" s="3"/>
      <c r="C464" s="10"/>
      <c r="D464" s="10"/>
      <c r="E464" s="10"/>
      <c r="F464" s="10"/>
      <c r="G464" s="3"/>
      <c r="H464" s="9"/>
      <c r="I464" s="9"/>
      <c r="J464" s="9"/>
      <c r="K464" s="10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3"/>
      <c r="AM464" s="3"/>
      <c r="AN464" s="10"/>
      <c r="AO464" s="3"/>
      <c r="AP464" s="3"/>
      <c r="AQ464" s="3"/>
      <c r="AR464" s="3"/>
      <c r="AS464" s="3"/>
      <c r="AT464" s="3"/>
      <c r="AU464" s="3"/>
      <c r="AV464" s="3"/>
    </row>
    <row r="465" spans="1:48" ht="15.4" x14ac:dyDescent="0.35">
      <c r="A465" s="9"/>
      <c r="B465" s="3"/>
      <c r="C465" s="10"/>
      <c r="D465" s="10"/>
      <c r="E465" s="10"/>
      <c r="F465" s="10"/>
      <c r="G465" s="3"/>
      <c r="H465" s="9"/>
      <c r="I465" s="9"/>
      <c r="J465" s="9"/>
      <c r="K465" s="10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3"/>
      <c r="AM465" s="3"/>
      <c r="AN465" s="10"/>
      <c r="AO465" s="3"/>
      <c r="AP465" s="3"/>
      <c r="AQ465" s="3"/>
      <c r="AR465" s="3"/>
      <c r="AS465" s="3"/>
      <c r="AT465" s="3"/>
      <c r="AU465" s="3"/>
      <c r="AV465" s="3"/>
    </row>
    <row r="466" spans="1:48" ht="15.4" x14ac:dyDescent="0.35">
      <c r="A466" s="9"/>
      <c r="B466" s="3"/>
      <c r="C466" s="10"/>
      <c r="D466" s="10"/>
      <c r="E466" s="10"/>
      <c r="F466" s="10"/>
      <c r="G466" s="3"/>
      <c r="H466" s="9"/>
      <c r="I466" s="9"/>
      <c r="J466" s="9"/>
      <c r="K466" s="10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3"/>
      <c r="AM466" s="3"/>
      <c r="AN466" s="10"/>
      <c r="AO466" s="3"/>
      <c r="AP466" s="3"/>
      <c r="AQ466" s="3"/>
      <c r="AR466" s="3"/>
      <c r="AS466" s="3"/>
      <c r="AT466" s="3"/>
      <c r="AU466" s="3"/>
      <c r="AV466" s="3"/>
    </row>
    <row r="467" spans="1:48" ht="15.4" x14ac:dyDescent="0.35">
      <c r="A467" s="9"/>
      <c r="B467" s="3"/>
      <c r="C467" s="10"/>
      <c r="D467" s="10"/>
      <c r="E467" s="10"/>
      <c r="F467" s="10"/>
      <c r="G467" s="3"/>
      <c r="H467" s="9"/>
      <c r="I467" s="9"/>
      <c r="J467" s="9"/>
      <c r="K467" s="10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3"/>
      <c r="AM467" s="3"/>
      <c r="AN467" s="10"/>
      <c r="AO467" s="3"/>
      <c r="AP467" s="3"/>
      <c r="AQ467" s="3"/>
      <c r="AR467" s="3"/>
      <c r="AS467" s="3"/>
      <c r="AT467" s="3"/>
      <c r="AU467" s="3"/>
      <c r="AV467" s="3"/>
    </row>
    <row r="468" spans="1:48" ht="15.4" x14ac:dyDescent="0.35">
      <c r="A468" s="9"/>
      <c r="B468" s="3"/>
      <c r="C468" s="10"/>
      <c r="D468" s="10"/>
      <c r="E468" s="10"/>
      <c r="F468" s="10"/>
      <c r="G468" s="3"/>
      <c r="H468" s="9"/>
      <c r="I468" s="9"/>
      <c r="J468" s="9"/>
      <c r="K468" s="10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3"/>
      <c r="AM468" s="3"/>
      <c r="AN468" s="10"/>
      <c r="AO468" s="3"/>
      <c r="AP468" s="3"/>
      <c r="AQ468" s="3"/>
      <c r="AR468" s="3"/>
      <c r="AS468" s="3"/>
      <c r="AT468" s="3"/>
      <c r="AU468" s="3"/>
      <c r="AV468" s="3"/>
    </row>
    <row r="469" spans="1:48" ht="15.4" x14ac:dyDescent="0.35">
      <c r="A469" s="9"/>
      <c r="B469" s="3"/>
      <c r="C469" s="10"/>
      <c r="D469" s="10"/>
      <c r="E469" s="10"/>
      <c r="F469" s="10"/>
      <c r="G469" s="3"/>
      <c r="H469" s="9"/>
      <c r="I469" s="9"/>
      <c r="J469" s="9"/>
      <c r="K469" s="10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3"/>
      <c r="AM469" s="3"/>
      <c r="AN469" s="10"/>
      <c r="AO469" s="3"/>
      <c r="AP469" s="3"/>
      <c r="AQ469" s="3"/>
      <c r="AR469" s="3"/>
      <c r="AS469" s="3"/>
      <c r="AT469" s="3"/>
      <c r="AU469" s="3"/>
      <c r="AV469" s="3"/>
    </row>
    <row r="470" spans="1:48" ht="15.4" x14ac:dyDescent="0.35">
      <c r="A470" s="9"/>
      <c r="B470" s="3"/>
      <c r="C470" s="10"/>
      <c r="D470" s="10"/>
      <c r="E470" s="10"/>
      <c r="F470" s="10"/>
      <c r="G470" s="3"/>
      <c r="H470" s="9"/>
      <c r="I470" s="9"/>
      <c r="J470" s="9"/>
      <c r="K470" s="10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3"/>
      <c r="AM470" s="3"/>
      <c r="AN470" s="10"/>
      <c r="AO470" s="3"/>
      <c r="AP470" s="3"/>
      <c r="AQ470" s="3"/>
      <c r="AR470" s="3"/>
      <c r="AS470" s="3"/>
      <c r="AT470" s="3"/>
      <c r="AU470" s="3"/>
      <c r="AV470" s="3"/>
    </row>
    <row r="471" spans="1:48" ht="15.4" x14ac:dyDescent="0.35">
      <c r="A471" s="9"/>
      <c r="B471" s="3"/>
      <c r="C471" s="10"/>
      <c r="D471" s="10"/>
      <c r="E471" s="10"/>
      <c r="F471" s="10"/>
      <c r="G471" s="3"/>
      <c r="H471" s="9"/>
      <c r="I471" s="9"/>
      <c r="J471" s="9"/>
      <c r="K471" s="10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3"/>
      <c r="AM471" s="3"/>
      <c r="AN471" s="10"/>
      <c r="AO471" s="3"/>
      <c r="AP471" s="3"/>
      <c r="AQ471" s="3"/>
      <c r="AR471" s="3"/>
      <c r="AS471" s="3"/>
      <c r="AT471" s="3"/>
      <c r="AU471" s="3"/>
      <c r="AV471" s="3"/>
    </row>
    <row r="472" spans="1:48" ht="15.4" x14ac:dyDescent="0.35">
      <c r="A472" s="9"/>
      <c r="B472" s="3"/>
      <c r="C472" s="10"/>
      <c r="D472" s="10"/>
      <c r="E472" s="10"/>
      <c r="F472" s="10"/>
      <c r="G472" s="3"/>
      <c r="H472" s="9"/>
      <c r="I472" s="9"/>
      <c r="J472" s="9"/>
      <c r="K472" s="10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3"/>
      <c r="AM472" s="3"/>
      <c r="AN472" s="10"/>
      <c r="AO472" s="3"/>
      <c r="AP472" s="3"/>
      <c r="AQ472" s="3"/>
      <c r="AR472" s="3"/>
      <c r="AS472" s="3"/>
      <c r="AT472" s="3"/>
      <c r="AU472" s="3"/>
      <c r="AV472" s="3"/>
    </row>
    <row r="473" spans="1:48" ht="15.4" x14ac:dyDescent="0.35">
      <c r="A473" s="9"/>
      <c r="B473" s="3"/>
      <c r="C473" s="10"/>
      <c r="D473" s="10"/>
      <c r="E473" s="10"/>
      <c r="F473" s="10"/>
      <c r="G473" s="3"/>
      <c r="H473" s="9"/>
      <c r="I473" s="9"/>
      <c r="J473" s="9"/>
      <c r="K473" s="10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3"/>
      <c r="AM473" s="3"/>
      <c r="AN473" s="10"/>
      <c r="AO473" s="3"/>
      <c r="AP473" s="3"/>
      <c r="AQ473" s="3"/>
      <c r="AR473" s="3"/>
      <c r="AS473" s="3"/>
      <c r="AT473" s="3"/>
      <c r="AU473" s="3"/>
      <c r="AV473" s="3"/>
    </row>
    <row r="474" spans="1:48" ht="15.4" x14ac:dyDescent="0.35">
      <c r="A474" s="9"/>
      <c r="B474" s="3"/>
      <c r="C474" s="10"/>
      <c r="D474" s="10"/>
      <c r="E474" s="10"/>
      <c r="F474" s="10"/>
      <c r="G474" s="3"/>
      <c r="H474" s="9"/>
      <c r="I474" s="9"/>
      <c r="J474" s="9"/>
      <c r="K474" s="10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3"/>
      <c r="AM474" s="3"/>
      <c r="AN474" s="10"/>
      <c r="AO474" s="3"/>
      <c r="AP474" s="3"/>
      <c r="AQ474" s="3"/>
      <c r="AR474" s="3"/>
      <c r="AS474" s="3"/>
      <c r="AT474" s="3"/>
      <c r="AU474" s="3"/>
      <c r="AV474" s="3"/>
    </row>
    <row r="475" spans="1:48" ht="15.4" x14ac:dyDescent="0.35">
      <c r="A475" s="9"/>
      <c r="B475" s="3"/>
      <c r="C475" s="10"/>
      <c r="D475" s="10"/>
      <c r="E475" s="10"/>
      <c r="F475" s="10"/>
      <c r="G475" s="3"/>
      <c r="H475" s="9"/>
      <c r="I475" s="9"/>
      <c r="J475" s="9"/>
      <c r="K475" s="10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3"/>
      <c r="AM475" s="3"/>
      <c r="AN475" s="10"/>
      <c r="AO475" s="3"/>
      <c r="AP475" s="3"/>
      <c r="AQ475" s="3"/>
      <c r="AR475" s="3"/>
      <c r="AS475" s="3"/>
      <c r="AT475" s="3"/>
      <c r="AU475" s="3"/>
      <c r="AV475" s="3"/>
    </row>
    <row r="476" spans="1:48" ht="15.4" x14ac:dyDescent="0.35">
      <c r="A476" s="9"/>
      <c r="B476" s="3"/>
      <c r="C476" s="10"/>
      <c r="D476" s="10"/>
      <c r="E476" s="10"/>
      <c r="F476" s="10"/>
      <c r="G476" s="3"/>
      <c r="H476" s="9"/>
      <c r="I476" s="9"/>
      <c r="J476" s="9"/>
      <c r="K476" s="10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3"/>
      <c r="AM476" s="3"/>
      <c r="AN476" s="10"/>
      <c r="AO476" s="3"/>
      <c r="AP476" s="3"/>
      <c r="AQ476" s="3"/>
      <c r="AR476" s="3"/>
      <c r="AS476" s="3"/>
      <c r="AT476" s="3"/>
      <c r="AU476" s="3"/>
      <c r="AV476" s="3"/>
    </row>
    <row r="477" spans="1:48" ht="15.4" x14ac:dyDescent="0.35">
      <c r="A477" s="9"/>
      <c r="B477" s="3"/>
      <c r="C477" s="10"/>
      <c r="D477" s="10"/>
      <c r="E477" s="10"/>
      <c r="F477" s="10"/>
      <c r="G477" s="3"/>
      <c r="H477" s="9"/>
      <c r="I477" s="9"/>
      <c r="J477" s="9"/>
      <c r="K477" s="10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3"/>
      <c r="AM477" s="3"/>
      <c r="AN477" s="10"/>
      <c r="AO477" s="3"/>
      <c r="AP477" s="3"/>
      <c r="AQ477" s="3"/>
      <c r="AR477" s="3"/>
      <c r="AS477" s="3"/>
      <c r="AT477" s="3"/>
      <c r="AU477" s="3"/>
      <c r="AV477" s="3"/>
    </row>
    <row r="478" spans="1:48" ht="15.4" x14ac:dyDescent="0.35">
      <c r="A478" s="9"/>
      <c r="B478" s="3"/>
      <c r="C478" s="10"/>
      <c r="D478" s="10"/>
      <c r="E478" s="10"/>
      <c r="F478" s="10"/>
      <c r="G478" s="3"/>
      <c r="H478" s="9"/>
      <c r="I478" s="9"/>
      <c r="J478" s="9"/>
      <c r="K478" s="10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3"/>
      <c r="AM478" s="3"/>
      <c r="AN478" s="10"/>
      <c r="AO478" s="3"/>
      <c r="AP478" s="3"/>
      <c r="AQ478" s="3"/>
      <c r="AR478" s="3"/>
      <c r="AS478" s="3"/>
      <c r="AT478" s="3"/>
      <c r="AU478" s="3"/>
      <c r="AV478" s="3"/>
    </row>
    <row r="479" spans="1:48" ht="15.4" x14ac:dyDescent="0.35">
      <c r="A479" s="9"/>
      <c r="B479" s="3"/>
      <c r="C479" s="10"/>
      <c r="D479" s="10"/>
      <c r="E479" s="10"/>
      <c r="F479" s="10"/>
      <c r="G479" s="3"/>
      <c r="H479" s="9"/>
      <c r="I479" s="9"/>
      <c r="J479" s="9"/>
      <c r="K479" s="10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3"/>
      <c r="AM479" s="3"/>
      <c r="AN479" s="10"/>
      <c r="AO479" s="3"/>
      <c r="AP479" s="3"/>
      <c r="AQ479" s="3"/>
      <c r="AR479" s="3"/>
      <c r="AS479" s="3"/>
      <c r="AT479" s="3"/>
      <c r="AU479" s="3"/>
      <c r="AV479" s="3"/>
    </row>
    <row r="480" spans="1:48" ht="15.4" x14ac:dyDescent="0.35">
      <c r="A480" s="9"/>
      <c r="B480" s="3"/>
      <c r="C480" s="10"/>
      <c r="D480" s="10"/>
      <c r="E480" s="10"/>
      <c r="F480" s="10"/>
      <c r="G480" s="3"/>
      <c r="H480" s="9"/>
      <c r="I480" s="9"/>
      <c r="J480" s="9"/>
      <c r="K480" s="10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3"/>
      <c r="AM480" s="3"/>
      <c r="AN480" s="10"/>
      <c r="AO480" s="3"/>
      <c r="AP480" s="3"/>
      <c r="AQ480" s="3"/>
      <c r="AR480" s="3"/>
      <c r="AS480" s="3"/>
      <c r="AT480" s="3"/>
      <c r="AU480" s="3"/>
      <c r="AV480" s="3"/>
    </row>
    <row r="481" spans="1:48" ht="15.4" x14ac:dyDescent="0.35">
      <c r="A481" s="9"/>
      <c r="B481" s="3"/>
      <c r="C481" s="10"/>
      <c r="D481" s="10"/>
      <c r="E481" s="10"/>
      <c r="F481" s="10"/>
      <c r="G481" s="3"/>
      <c r="H481" s="9"/>
      <c r="I481" s="9"/>
      <c r="J481" s="9"/>
      <c r="K481" s="10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3"/>
      <c r="AM481" s="3"/>
      <c r="AN481" s="10"/>
      <c r="AO481" s="3"/>
      <c r="AP481" s="3"/>
      <c r="AQ481" s="3"/>
      <c r="AR481" s="3"/>
      <c r="AS481" s="3"/>
      <c r="AT481" s="3"/>
      <c r="AU481" s="3"/>
      <c r="AV481" s="3"/>
    </row>
    <row r="482" spans="1:48" ht="15.4" x14ac:dyDescent="0.35">
      <c r="A482" s="9"/>
      <c r="B482" s="3"/>
      <c r="C482" s="10"/>
      <c r="D482" s="10"/>
      <c r="E482" s="10"/>
      <c r="F482" s="10"/>
      <c r="G482" s="3"/>
      <c r="H482" s="9"/>
      <c r="I482" s="9"/>
      <c r="J482" s="9"/>
      <c r="K482" s="10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3"/>
      <c r="AM482" s="3"/>
      <c r="AN482" s="10"/>
      <c r="AO482" s="3"/>
      <c r="AP482" s="3"/>
      <c r="AQ482" s="3"/>
      <c r="AR482" s="3"/>
      <c r="AS482" s="3"/>
      <c r="AT482" s="3"/>
      <c r="AU482" s="3"/>
      <c r="AV482" s="3"/>
    </row>
    <row r="483" spans="1:48" ht="15.4" x14ac:dyDescent="0.35">
      <c r="A483" s="9"/>
      <c r="B483" s="3"/>
      <c r="C483" s="10"/>
      <c r="D483" s="10"/>
      <c r="E483" s="10"/>
      <c r="F483" s="10"/>
      <c r="G483" s="3"/>
      <c r="H483" s="9"/>
      <c r="I483" s="9"/>
      <c r="J483" s="9"/>
      <c r="K483" s="10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3"/>
      <c r="AM483" s="3"/>
      <c r="AN483" s="10"/>
      <c r="AO483" s="3"/>
      <c r="AP483" s="3"/>
      <c r="AQ483" s="3"/>
      <c r="AR483" s="3"/>
      <c r="AS483" s="3"/>
      <c r="AT483" s="3"/>
      <c r="AU483" s="3"/>
      <c r="AV483" s="3"/>
    </row>
    <row r="484" spans="1:48" ht="15.4" x14ac:dyDescent="0.35">
      <c r="A484" s="9"/>
      <c r="B484" s="3"/>
      <c r="C484" s="10"/>
      <c r="D484" s="10"/>
      <c r="E484" s="10"/>
      <c r="F484" s="10"/>
      <c r="G484" s="3"/>
      <c r="H484" s="9"/>
      <c r="I484" s="9"/>
      <c r="J484" s="9"/>
      <c r="K484" s="10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3"/>
      <c r="AM484" s="3"/>
      <c r="AN484" s="10"/>
      <c r="AO484" s="3"/>
      <c r="AP484" s="3"/>
      <c r="AQ484" s="3"/>
      <c r="AR484" s="3"/>
      <c r="AS484" s="3"/>
      <c r="AT484" s="3"/>
      <c r="AU484" s="3"/>
      <c r="AV484" s="3"/>
    </row>
    <row r="485" spans="1:48" ht="15.4" x14ac:dyDescent="0.35">
      <c r="A485" s="9"/>
      <c r="B485" s="3"/>
      <c r="C485" s="10"/>
      <c r="D485" s="10"/>
      <c r="E485" s="10"/>
      <c r="F485" s="10"/>
      <c r="G485" s="3"/>
      <c r="H485" s="9"/>
      <c r="I485" s="9"/>
      <c r="J485" s="9"/>
      <c r="K485" s="10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3"/>
      <c r="AM485" s="3"/>
      <c r="AN485" s="10"/>
      <c r="AO485" s="3"/>
      <c r="AP485" s="3"/>
      <c r="AQ485" s="3"/>
      <c r="AR485" s="3"/>
      <c r="AS485" s="3"/>
      <c r="AT485" s="3"/>
      <c r="AU485" s="3"/>
      <c r="AV485" s="3"/>
    </row>
    <row r="486" spans="1:48" ht="15.4" x14ac:dyDescent="0.35">
      <c r="A486" s="9"/>
      <c r="B486" s="3"/>
      <c r="C486" s="10"/>
      <c r="D486" s="10"/>
      <c r="E486" s="10"/>
      <c r="F486" s="10"/>
      <c r="G486" s="3"/>
      <c r="H486" s="9"/>
      <c r="I486" s="9"/>
      <c r="J486" s="9"/>
      <c r="K486" s="10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3"/>
      <c r="AM486" s="3"/>
      <c r="AN486" s="10"/>
      <c r="AO486" s="3"/>
      <c r="AP486" s="3"/>
      <c r="AQ486" s="3"/>
      <c r="AR486" s="3"/>
      <c r="AS486" s="3"/>
      <c r="AT486" s="3"/>
      <c r="AU486" s="3"/>
      <c r="AV486" s="3"/>
    </row>
    <row r="487" spans="1:48" ht="15.4" x14ac:dyDescent="0.35">
      <c r="A487" s="9"/>
      <c r="B487" s="3"/>
      <c r="C487" s="10"/>
      <c r="D487" s="10"/>
      <c r="E487" s="10"/>
      <c r="F487" s="10"/>
      <c r="G487" s="3"/>
      <c r="H487" s="9"/>
      <c r="I487" s="9"/>
      <c r="J487" s="9"/>
      <c r="K487" s="10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3"/>
      <c r="AM487" s="3"/>
      <c r="AN487" s="10"/>
      <c r="AO487" s="3"/>
      <c r="AP487" s="3"/>
      <c r="AQ487" s="3"/>
      <c r="AR487" s="3"/>
      <c r="AS487" s="3"/>
      <c r="AT487" s="3"/>
      <c r="AU487" s="3"/>
      <c r="AV487" s="3"/>
    </row>
    <row r="488" spans="1:48" ht="15.4" x14ac:dyDescent="0.35">
      <c r="A488" s="9"/>
      <c r="B488" s="3"/>
      <c r="C488" s="10"/>
      <c r="D488" s="10"/>
      <c r="E488" s="10"/>
      <c r="F488" s="10"/>
      <c r="G488" s="3"/>
      <c r="H488" s="9"/>
      <c r="I488" s="9"/>
      <c r="J488" s="9"/>
      <c r="K488" s="10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3"/>
      <c r="AM488" s="3"/>
      <c r="AN488" s="10"/>
      <c r="AO488" s="3"/>
      <c r="AP488" s="3"/>
      <c r="AQ488" s="3"/>
      <c r="AR488" s="3"/>
      <c r="AS488" s="3"/>
      <c r="AT488" s="3"/>
      <c r="AU488" s="3"/>
      <c r="AV488" s="3"/>
    </row>
    <row r="489" spans="1:48" ht="15.4" x14ac:dyDescent="0.35">
      <c r="A489" s="9"/>
      <c r="B489" s="3"/>
      <c r="C489" s="10"/>
      <c r="D489" s="10"/>
      <c r="E489" s="10"/>
      <c r="F489" s="10"/>
      <c r="G489" s="3"/>
      <c r="H489" s="9"/>
      <c r="I489" s="9"/>
      <c r="J489" s="9"/>
      <c r="K489" s="10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3"/>
      <c r="AM489" s="3"/>
      <c r="AN489" s="10"/>
      <c r="AO489" s="3"/>
      <c r="AP489" s="3"/>
      <c r="AQ489" s="3"/>
      <c r="AR489" s="3"/>
      <c r="AS489" s="3"/>
      <c r="AT489" s="3"/>
      <c r="AU489" s="3"/>
      <c r="AV489" s="3"/>
    </row>
    <row r="490" spans="1:48" ht="15.4" x14ac:dyDescent="0.35">
      <c r="A490" s="9"/>
      <c r="B490" s="3"/>
      <c r="C490" s="10"/>
      <c r="D490" s="10"/>
      <c r="E490" s="10"/>
      <c r="F490" s="10"/>
      <c r="G490" s="3"/>
      <c r="H490" s="9"/>
      <c r="I490" s="9"/>
      <c r="J490" s="9"/>
      <c r="K490" s="10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3"/>
      <c r="AM490" s="3"/>
      <c r="AN490" s="10"/>
      <c r="AO490" s="3"/>
      <c r="AP490" s="3"/>
      <c r="AQ490" s="3"/>
      <c r="AR490" s="3"/>
      <c r="AS490" s="3"/>
      <c r="AT490" s="3"/>
      <c r="AU490" s="3"/>
      <c r="AV490" s="3"/>
    </row>
    <row r="491" spans="1:48" ht="15.4" x14ac:dyDescent="0.35">
      <c r="A491" s="9"/>
      <c r="B491" s="3"/>
      <c r="C491" s="10"/>
      <c r="D491" s="10"/>
      <c r="E491" s="10"/>
      <c r="F491" s="10"/>
      <c r="G491" s="3"/>
      <c r="H491" s="9"/>
      <c r="I491" s="9"/>
      <c r="J491" s="9"/>
      <c r="K491" s="10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3"/>
      <c r="AM491" s="3"/>
      <c r="AN491" s="10"/>
      <c r="AO491" s="3"/>
      <c r="AP491" s="3"/>
      <c r="AQ491" s="3"/>
      <c r="AR491" s="3"/>
      <c r="AS491" s="3"/>
      <c r="AT491" s="3"/>
      <c r="AU491" s="3"/>
      <c r="AV491" s="3"/>
    </row>
    <row r="492" spans="1:48" ht="15.4" x14ac:dyDescent="0.35">
      <c r="A492" s="9"/>
      <c r="B492" s="3"/>
      <c r="C492" s="10"/>
      <c r="D492" s="10"/>
      <c r="E492" s="10"/>
      <c r="F492" s="10"/>
      <c r="G492" s="3"/>
      <c r="H492" s="9"/>
      <c r="I492" s="9"/>
      <c r="J492" s="9"/>
      <c r="K492" s="10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3"/>
      <c r="AM492" s="3"/>
      <c r="AN492" s="10"/>
      <c r="AO492" s="3"/>
      <c r="AP492" s="3"/>
      <c r="AQ492" s="3"/>
      <c r="AR492" s="3"/>
      <c r="AS492" s="3"/>
      <c r="AT492" s="3"/>
      <c r="AU492" s="3"/>
      <c r="AV492" s="3"/>
    </row>
    <row r="493" spans="1:48" ht="15.4" x14ac:dyDescent="0.35">
      <c r="A493" s="9"/>
      <c r="B493" s="3"/>
      <c r="C493" s="10"/>
      <c r="D493" s="10"/>
      <c r="E493" s="10"/>
      <c r="F493" s="10"/>
      <c r="G493" s="3"/>
      <c r="H493" s="9"/>
      <c r="I493" s="9"/>
      <c r="J493" s="9"/>
      <c r="K493" s="10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3"/>
      <c r="AM493" s="3"/>
      <c r="AN493" s="10"/>
      <c r="AO493" s="3"/>
      <c r="AP493" s="3"/>
      <c r="AQ493" s="3"/>
      <c r="AR493" s="3"/>
      <c r="AS493" s="3"/>
      <c r="AT493" s="3"/>
      <c r="AU493" s="3"/>
      <c r="AV493" s="3"/>
    </row>
    <row r="494" spans="1:48" ht="15.4" x14ac:dyDescent="0.35">
      <c r="A494" s="9"/>
      <c r="B494" s="3"/>
      <c r="C494" s="10"/>
      <c r="D494" s="10"/>
      <c r="E494" s="10"/>
      <c r="F494" s="10"/>
      <c r="G494" s="3"/>
      <c r="H494" s="9"/>
      <c r="I494" s="9"/>
      <c r="J494" s="9"/>
      <c r="K494" s="10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3"/>
      <c r="AM494" s="3"/>
      <c r="AN494" s="10"/>
      <c r="AO494" s="3"/>
      <c r="AP494" s="3"/>
      <c r="AQ494" s="3"/>
      <c r="AR494" s="3"/>
      <c r="AS494" s="3"/>
      <c r="AT494" s="3"/>
      <c r="AU494" s="3"/>
      <c r="AV494" s="3"/>
    </row>
    <row r="495" spans="1:48" ht="15.4" x14ac:dyDescent="0.35">
      <c r="A495" s="9"/>
      <c r="B495" s="3"/>
      <c r="C495" s="10"/>
      <c r="D495" s="10"/>
      <c r="E495" s="10"/>
      <c r="F495" s="10"/>
      <c r="G495" s="3"/>
      <c r="H495" s="9"/>
      <c r="I495" s="9"/>
      <c r="J495" s="9"/>
      <c r="K495" s="10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3"/>
      <c r="AM495" s="3"/>
      <c r="AN495" s="10"/>
      <c r="AO495" s="3"/>
      <c r="AP495" s="3"/>
      <c r="AQ495" s="3"/>
      <c r="AR495" s="3"/>
      <c r="AS495" s="3"/>
      <c r="AT495" s="3"/>
      <c r="AU495" s="3"/>
      <c r="AV495" s="3"/>
    </row>
    <row r="496" spans="1:48" ht="15.4" x14ac:dyDescent="0.35">
      <c r="A496" s="9"/>
      <c r="B496" s="3"/>
      <c r="C496" s="10"/>
      <c r="D496" s="10"/>
      <c r="E496" s="10"/>
      <c r="F496" s="10"/>
      <c r="G496" s="3"/>
      <c r="H496" s="9"/>
      <c r="I496" s="9"/>
      <c r="J496" s="9"/>
      <c r="K496" s="10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3"/>
      <c r="AM496" s="3"/>
      <c r="AN496" s="10"/>
      <c r="AO496" s="3"/>
      <c r="AP496" s="3"/>
      <c r="AQ496" s="3"/>
      <c r="AR496" s="3"/>
      <c r="AS496" s="3"/>
      <c r="AT496" s="3"/>
      <c r="AU496" s="3"/>
      <c r="AV496" s="3"/>
    </row>
    <row r="497" spans="1:48" ht="15.4" x14ac:dyDescent="0.35">
      <c r="A497" s="9"/>
      <c r="B497" s="3"/>
      <c r="C497" s="10"/>
      <c r="D497" s="10"/>
      <c r="E497" s="10"/>
      <c r="F497" s="10"/>
      <c r="G497" s="3"/>
      <c r="H497" s="9"/>
      <c r="I497" s="9"/>
      <c r="J497" s="9"/>
      <c r="K497" s="10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3"/>
      <c r="AM497" s="3"/>
      <c r="AN497" s="10"/>
      <c r="AO497" s="3"/>
      <c r="AP497" s="3"/>
      <c r="AQ497" s="3"/>
      <c r="AR497" s="3"/>
      <c r="AS497" s="3"/>
      <c r="AT497" s="3"/>
      <c r="AU497" s="3"/>
      <c r="AV497" s="3"/>
    </row>
    <row r="498" spans="1:48" ht="15.4" x14ac:dyDescent="0.35">
      <c r="A498" s="9"/>
      <c r="B498" s="3"/>
      <c r="C498" s="10"/>
      <c r="D498" s="10"/>
      <c r="E498" s="10"/>
      <c r="F498" s="10"/>
      <c r="G498" s="3"/>
      <c r="H498" s="9"/>
      <c r="I498" s="9"/>
      <c r="J498" s="9"/>
      <c r="K498" s="10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3"/>
      <c r="AM498" s="3"/>
      <c r="AN498" s="10"/>
      <c r="AO498" s="3"/>
      <c r="AP498" s="3"/>
      <c r="AQ498" s="3"/>
      <c r="AR498" s="3"/>
      <c r="AS498" s="3"/>
      <c r="AT498" s="3"/>
      <c r="AU498" s="3"/>
      <c r="AV498" s="3"/>
    </row>
    <row r="499" spans="1:48" ht="15.4" x14ac:dyDescent="0.35">
      <c r="A499" s="9"/>
      <c r="B499" s="3"/>
      <c r="C499" s="10"/>
      <c r="D499" s="10"/>
      <c r="E499" s="10"/>
      <c r="F499" s="10"/>
      <c r="G499" s="3"/>
      <c r="H499" s="9"/>
      <c r="I499" s="9"/>
      <c r="J499" s="9"/>
      <c r="K499" s="10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3"/>
      <c r="AM499" s="3"/>
      <c r="AN499" s="10"/>
      <c r="AO499" s="3"/>
      <c r="AP499" s="3"/>
      <c r="AQ499" s="3"/>
      <c r="AR499" s="3"/>
      <c r="AS499" s="3"/>
      <c r="AT499" s="3"/>
      <c r="AU499" s="3"/>
      <c r="AV499" s="3"/>
    </row>
    <row r="500" spans="1:48" ht="15.4" x14ac:dyDescent="0.35">
      <c r="A500" s="9"/>
      <c r="B500" s="3"/>
      <c r="C500" s="10"/>
      <c r="D500" s="10"/>
      <c r="E500" s="10"/>
      <c r="F500" s="10"/>
      <c r="G500" s="3"/>
      <c r="H500" s="9"/>
      <c r="I500" s="9"/>
      <c r="J500" s="9"/>
      <c r="K500" s="10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3"/>
      <c r="AM500" s="3"/>
      <c r="AN500" s="10"/>
      <c r="AO500" s="3"/>
      <c r="AP500" s="3"/>
      <c r="AQ500" s="3"/>
      <c r="AR500" s="3"/>
      <c r="AS500" s="3"/>
      <c r="AT500" s="3"/>
      <c r="AU500" s="3"/>
      <c r="AV500" s="3"/>
    </row>
    <row r="501" spans="1:48" ht="15.4" x14ac:dyDescent="0.35">
      <c r="A501" s="9"/>
      <c r="B501" s="3"/>
      <c r="C501" s="10"/>
      <c r="D501" s="10"/>
      <c r="E501" s="10"/>
      <c r="F501" s="10"/>
      <c r="G501" s="3"/>
      <c r="H501" s="9"/>
      <c r="I501" s="9"/>
      <c r="J501" s="9"/>
      <c r="K501" s="10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3"/>
      <c r="AM501" s="3"/>
      <c r="AN501" s="10"/>
      <c r="AO501" s="3"/>
      <c r="AP501" s="3"/>
      <c r="AQ501" s="3"/>
      <c r="AR501" s="3"/>
      <c r="AS501" s="3"/>
      <c r="AT501" s="3"/>
      <c r="AU501" s="3"/>
      <c r="AV501" s="3"/>
    </row>
    <row r="502" spans="1:48" ht="15.4" x14ac:dyDescent="0.35">
      <c r="A502" s="9"/>
      <c r="B502" s="3"/>
      <c r="C502" s="10"/>
      <c r="D502" s="10"/>
      <c r="E502" s="10"/>
      <c r="F502" s="10"/>
      <c r="G502" s="3"/>
      <c r="H502" s="9"/>
      <c r="I502" s="9"/>
      <c r="J502" s="9"/>
      <c r="K502" s="10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3"/>
      <c r="AM502" s="3"/>
      <c r="AN502" s="10"/>
      <c r="AO502" s="3"/>
      <c r="AP502" s="3"/>
      <c r="AQ502" s="3"/>
      <c r="AR502" s="3"/>
      <c r="AS502" s="3"/>
      <c r="AT502" s="3"/>
      <c r="AU502" s="3"/>
      <c r="AV502" s="3"/>
    </row>
    <row r="503" spans="1:48" ht="15.4" x14ac:dyDescent="0.35">
      <c r="A503" s="9"/>
      <c r="B503" s="3"/>
      <c r="C503" s="10"/>
      <c r="D503" s="10"/>
      <c r="E503" s="10"/>
      <c r="F503" s="10"/>
      <c r="G503" s="3"/>
      <c r="H503" s="9"/>
      <c r="I503" s="9"/>
      <c r="J503" s="9"/>
      <c r="K503" s="10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3"/>
      <c r="AM503" s="3"/>
      <c r="AN503" s="10"/>
      <c r="AO503" s="3"/>
      <c r="AP503" s="3"/>
      <c r="AQ503" s="3"/>
      <c r="AR503" s="3"/>
      <c r="AS503" s="3"/>
      <c r="AT503" s="3"/>
      <c r="AU503" s="3"/>
      <c r="AV503" s="3"/>
    </row>
    <row r="504" spans="1:48" ht="15.4" x14ac:dyDescent="0.35">
      <c r="A504" s="9"/>
      <c r="B504" s="3"/>
      <c r="C504" s="10"/>
      <c r="D504" s="10"/>
      <c r="E504" s="10"/>
      <c r="F504" s="10"/>
      <c r="G504" s="3"/>
      <c r="H504" s="9"/>
      <c r="I504" s="9"/>
      <c r="J504" s="9"/>
      <c r="K504" s="10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3"/>
      <c r="AM504" s="3"/>
      <c r="AN504" s="10"/>
      <c r="AO504" s="3"/>
      <c r="AP504" s="3"/>
      <c r="AQ504" s="3"/>
      <c r="AR504" s="3"/>
      <c r="AS504" s="3"/>
      <c r="AT504" s="3"/>
      <c r="AU504" s="3"/>
      <c r="AV504" s="3"/>
    </row>
    <row r="505" spans="1:48" ht="15.4" x14ac:dyDescent="0.35">
      <c r="A505" s="9"/>
      <c r="B505" s="3"/>
      <c r="C505" s="10"/>
      <c r="D505" s="10"/>
      <c r="E505" s="10"/>
      <c r="F505" s="10"/>
      <c r="G505" s="3"/>
      <c r="H505" s="9"/>
      <c r="I505" s="9"/>
      <c r="J505" s="9"/>
      <c r="K505" s="10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3"/>
      <c r="AM505" s="3"/>
      <c r="AN505" s="10"/>
      <c r="AO505" s="3"/>
      <c r="AP505" s="3"/>
      <c r="AQ505" s="3"/>
      <c r="AR505" s="3"/>
      <c r="AS505" s="3"/>
      <c r="AT505" s="3"/>
      <c r="AU505" s="3"/>
      <c r="AV505" s="3"/>
    </row>
    <row r="506" spans="1:48" ht="15.4" x14ac:dyDescent="0.35">
      <c r="A506" s="9"/>
      <c r="B506" s="3"/>
      <c r="C506" s="10"/>
      <c r="D506" s="10"/>
      <c r="E506" s="10"/>
      <c r="F506" s="10"/>
      <c r="G506" s="3"/>
      <c r="H506" s="9"/>
      <c r="I506" s="9"/>
      <c r="J506" s="9"/>
      <c r="K506" s="10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3"/>
      <c r="AM506" s="3"/>
      <c r="AN506" s="10"/>
      <c r="AO506" s="3"/>
      <c r="AP506" s="3"/>
      <c r="AQ506" s="3"/>
      <c r="AR506" s="3"/>
      <c r="AS506" s="3"/>
      <c r="AT506" s="3"/>
      <c r="AU506" s="3"/>
      <c r="AV506" s="3"/>
    </row>
    <row r="507" spans="1:48" ht="15.4" x14ac:dyDescent="0.35">
      <c r="A507" s="9"/>
      <c r="B507" s="3"/>
      <c r="C507" s="10"/>
      <c r="D507" s="10"/>
      <c r="E507" s="10"/>
      <c r="F507" s="10"/>
      <c r="G507" s="3"/>
      <c r="H507" s="9"/>
      <c r="I507" s="9"/>
      <c r="J507" s="9"/>
      <c r="K507" s="10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3"/>
      <c r="AM507" s="3"/>
      <c r="AN507" s="10"/>
      <c r="AO507" s="3"/>
      <c r="AP507" s="3"/>
      <c r="AQ507" s="3"/>
      <c r="AR507" s="3"/>
      <c r="AS507" s="3"/>
      <c r="AT507" s="3"/>
      <c r="AU507" s="3"/>
      <c r="AV507" s="3"/>
    </row>
    <row r="508" spans="1:48" ht="15.4" x14ac:dyDescent="0.35">
      <c r="A508" s="9"/>
      <c r="B508" s="3"/>
      <c r="C508" s="10"/>
      <c r="D508" s="10"/>
      <c r="E508" s="10"/>
      <c r="F508" s="10"/>
      <c r="G508" s="3"/>
      <c r="H508" s="9"/>
      <c r="I508" s="9"/>
      <c r="J508" s="9"/>
      <c r="K508" s="10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3"/>
      <c r="AM508" s="3"/>
      <c r="AN508" s="10"/>
      <c r="AO508" s="3"/>
      <c r="AP508" s="3"/>
      <c r="AQ508" s="3"/>
      <c r="AR508" s="3"/>
      <c r="AS508" s="3"/>
      <c r="AT508" s="3"/>
      <c r="AU508" s="3"/>
      <c r="AV508" s="3"/>
    </row>
    <row r="509" spans="1:48" ht="15.4" x14ac:dyDescent="0.35">
      <c r="A509" s="9"/>
      <c r="B509" s="3"/>
      <c r="C509" s="10"/>
      <c r="D509" s="10"/>
      <c r="E509" s="10"/>
      <c r="F509" s="10"/>
      <c r="G509" s="3"/>
      <c r="H509" s="9"/>
      <c r="I509" s="9"/>
      <c r="J509" s="9"/>
      <c r="K509" s="10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3"/>
      <c r="AM509" s="3"/>
      <c r="AN509" s="10"/>
      <c r="AO509" s="3"/>
      <c r="AP509" s="3"/>
      <c r="AQ509" s="3"/>
      <c r="AR509" s="3"/>
      <c r="AS509" s="3"/>
      <c r="AT509" s="3"/>
      <c r="AU509" s="3"/>
      <c r="AV509" s="3"/>
    </row>
    <row r="510" spans="1:48" ht="15.4" x14ac:dyDescent="0.35">
      <c r="A510" s="9"/>
      <c r="B510" s="3"/>
      <c r="C510" s="10"/>
      <c r="D510" s="10"/>
      <c r="E510" s="10"/>
      <c r="F510" s="10"/>
      <c r="G510" s="3"/>
      <c r="H510" s="9"/>
      <c r="I510" s="9"/>
      <c r="J510" s="9"/>
      <c r="K510" s="10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3"/>
      <c r="AM510" s="3"/>
      <c r="AN510" s="10"/>
      <c r="AO510" s="3"/>
      <c r="AP510" s="3"/>
      <c r="AQ510" s="3"/>
      <c r="AR510" s="3"/>
      <c r="AS510" s="3"/>
      <c r="AT510" s="3"/>
      <c r="AU510" s="3"/>
      <c r="AV510" s="3"/>
    </row>
    <row r="511" spans="1:48" ht="15.4" x14ac:dyDescent="0.35">
      <c r="A511" s="9"/>
      <c r="B511" s="3"/>
      <c r="C511" s="10"/>
      <c r="D511" s="10"/>
      <c r="E511" s="10"/>
      <c r="F511" s="10"/>
      <c r="G511" s="3"/>
      <c r="H511" s="9"/>
      <c r="I511" s="9"/>
      <c r="J511" s="9"/>
      <c r="K511" s="10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3"/>
      <c r="AM511" s="3"/>
      <c r="AN511" s="10"/>
      <c r="AO511" s="3"/>
      <c r="AP511" s="3"/>
      <c r="AQ511" s="3"/>
      <c r="AR511" s="3"/>
      <c r="AS511" s="3"/>
      <c r="AT511" s="3"/>
      <c r="AU511" s="3"/>
      <c r="AV511" s="3"/>
    </row>
    <row r="512" spans="1:48" ht="15.4" x14ac:dyDescent="0.35">
      <c r="A512" s="9"/>
      <c r="B512" s="3"/>
      <c r="C512" s="10"/>
      <c r="D512" s="10"/>
      <c r="E512" s="10"/>
      <c r="F512" s="10"/>
      <c r="G512" s="3"/>
      <c r="H512" s="9"/>
      <c r="I512" s="9"/>
      <c r="J512" s="9"/>
      <c r="K512" s="10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3"/>
      <c r="AM512" s="3"/>
      <c r="AN512" s="10"/>
      <c r="AO512" s="3"/>
      <c r="AP512" s="3"/>
      <c r="AQ512" s="3"/>
      <c r="AR512" s="3"/>
      <c r="AS512" s="3"/>
      <c r="AT512" s="3"/>
      <c r="AU512" s="3"/>
      <c r="AV512" s="3"/>
    </row>
    <row r="513" spans="1:48" ht="15.4" x14ac:dyDescent="0.35">
      <c r="A513" s="9"/>
      <c r="B513" s="3"/>
      <c r="C513" s="10"/>
      <c r="D513" s="10"/>
      <c r="E513" s="10"/>
      <c r="F513" s="10"/>
      <c r="G513" s="3"/>
      <c r="H513" s="9"/>
      <c r="I513" s="9"/>
      <c r="J513" s="9"/>
      <c r="K513" s="10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3"/>
      <c r="AM513" s="3"/>
      <c r="AN513" s="10"/>
      <c r="AO513" s="3"/>
      <c r="AP513" s="3"/>
      <c r="AQ513" s="3"/>
      <c r="AR513" s="3"/>
      <c r="AS513" s="3"/>
      <c r="AT513" s="3"/>
      <c r="AU513" s="3"/>
      <c r="AV513" s="3"/>
    </row>
    <row r="514" spans="1:48" ht="15.4" x14ac:dyDescent="0.35">
      <c r="A514" s="9"/>
      <c r="B514" s="3"/>
      <c r="C514" s="10"/>
      <c r="D514" s="10"/>
      <c r="E514" s="10"/>
      <c r="F514" s="10"/>
      <c r="G514" s="3"/>
      <c r="H514" s="9"/>
      <c r="I514" s="9"/>
      <c r="J514" s="9"/>
      <c r="K514" s="10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3"/>
      <c r="AM514" s="3"/>
      <c r="AN514" s="10"/>
      <c r="AO514" s="3"/>
      <c r="AP514" s="3"/>
      <c r="AQ514" s="3"/>
      <c r="AR514" s="3"/>
      <c r="AS514" s="3"/>
      <c r="AT514" s="3"/>
      <c r="AU514" s="3"/>
      <c r="AV514" s="3"/>
    </row>
    <row r="515" spans="1:48" ht="15.4" x14ac:dyDescent="0.35">
      <c r="A515" s="9"/>
      <c r="B515" s="3"/>
      <c r="C515" s="10"/>
      <c r="D515" s="10"/>
      <c r="E515" s="10"/>
      <c r="F515" s="10"/>
      <c r="G515" s="3"/>
      <c r="H515" s="9"/>
      <c r="I515" s="9"/>
      <c r="J515" s="9"/>
      <c r="K515" s="10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3"/>
      <c r="AM515" s="3"/>
      <c r="AN515" s="10"/>
      <c r="AO515" s="3"/>
      <c r="AP515" s="3"/>
      <c r="AQ515" s="3"/>
      <c r="AR515" s="3"/>
      <c r="AS515" s="3"/>
      <c r="AT515" s="3"/>
      <c r="AU515" s="3"/>
      <c r="AV515" s="3"/>
    </row>
    <row r="516" spans="1:48" ht="15.4" x14ac:dyDescent="0.35">
      <c r="A516" s="9"/>
      <c r="B516" s="3"/>
      <c r="C516" s="10"/>
      <c r="D516" s="10"/>
      <c r="E516" s="10"/>
      <c r="F516" s="10"/>
      <c r="G516" s="3"/>
      <c r="H516" s="9"/>
      <c r="I516" s="9"/>
      <c r="J516" s="9"/>
      <c r="K516" s="10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3"/>
      <c r="AM516" s="3"/>
      <c r="AN516" s="10"/>
      <c r="AO516" s="3"/>
      <c r="AP516" s="3"/>
      <c r="AQ516" s="3"/>
      <c r="AR516" s="3"/>
      <c r="AS516" s="3"/>
      <c r="AT516" s="3"/>
      <c r="AU516" s="3"/>
      <c r="AV516" s="3"/>
    </row>
    <row r="517" spans="1:48" ht="15.4" x14ac:dyDescent="0.35">
      <c r="A517" s="9"/>
      <c r="B517" s="3"/>
      <c r="C517" s="10"/>
      <c r="D517" s="10"/>
      <c r="E517" s="10"/>
      <c r="F517" s="10"/>
      <c r="G517" s="3"/>
      <c r="H517" s="9"/>
      <c r="I517" s="9"/>
      <c r="J517" s="9"/>
      <c r="K517" s="10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3"/>
      <c r="AM517" s="3"/>
      <c r="AN517" s="10"/>
      <c r="AO517" s="3"/>
      <c r="AP517" s="3"/>
      <c r="AQ517" s="3"/>
      <c r="AR517" s="3"/>
      <c r="AS517" s="3"/>
      <c r="AT517" s="3"/>
      <c r="AU517" s="3"/>
      <c r="AV517" s="3"/>
    </row>
    <row r="518" spans="1:48" ht="15.4" x14ac:dyDescent="0.35">
      <c r="A518" s="9"/>
      <c r="B518" s="3"/>
      <c r="C518" s="10"/>
      <c r="D518" s="10"/>
      <c r="E518" s="10"/>
      <c r="F518" s="10"/>
      <c r="G518" s="3"/>
      <c r="H518" s="9"/>
      <c r="I518" s="9"/>
      <c r="J518" s="9"/>
      <c r="K518" s="10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3"/>
      <c r="AM518" s="3"/>
      <c r="AN518" s="10"/>
      <c r="AO518" s="3"/>
      <c r="AP518" s="3"/>
      <c r="AQ518" s="3"/>
      <c r="AR518" s="3"/>
      <c r="AS518" s="3"/>
      <c r="AT518" s="3"/>
      <c r="AU518" s="3"/>
      <c r="AV518" s="3"/>
    </row>
    <row r="519" spans="1:48" ht="15.4" x14ac:dyDescent="0.35">
      <c r="A519" s="9"/>
      <c r="B519" s="3"/>
      <c r="C519" s="10"/>
      <c r="D519" s="10"/>
      <c r="E519" s="10"/>
      <c r="F519" s="10"/>
      <c r="G519" s="3"/>
      <c r="H519" s="9"/>
      <c r="I519" s="9"/>
      <c r="J519" s="9"/>
      <c r="K519" s="10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3"/>
      <c r="AM519" s="3"/>
      <c r="AN519" s="10"/>
      <c r="AO519" s="3"/>
      <c r="AP519" s="3"/>
      <c r="AQ519" s="3"/>
      <c r="AR519" s="3"/>
      <c r="AS519" s="3"/>
      <c r="AT519" s="3"/>
      <c r="AU519" s="3"/>
      <c r="AV519" s="3"/>
    </row>
    <row r="520" spans="1:48" ht="15.4" x14ac:dyDescent="0.35">
      <c r="A520" s="9"/>
      <c r="B520" s="3"/>
      <c r="C520" s="10"/>
      <c r="D520" s="10"/>
      <c r="E520" s="10"/>
      <c r="F520" s="10"/>
      <c r="G520" s="3"/>
      <c r="H520" s="9"/>
      <c r="I520" s="9"/>
      <c r="J520" s="9"/>
      <c r="K520" s="10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3"/>
      <c r="AM520" s="3"/>
      <c r="AN520" s="10"/>
      <c r="AO520" s="3"/>
      <c r="AP520" s="3"/>
      <c r="AQ520" s="3"/>
      <c r="AR520" s="3"/>
      <c r="AS520" s="3"/>
      <c r="AT520" s="3"/>
      <c r="AU520" s="3"/>
      <c r="AV520" s="3"/>
    </row>
    <row r="521" spans="1:48" ht="15.4" x14ac:dyDescent="0.35">
      <c r="A521" s="9"/>
      <c r="B521" s="3"/>
      <c r="C521" s="10"/>
      <c r="D521" s="10"/>
      <c r="E521" s="10"/>
      <c r="F521" s="10"/>
      <c r="G521" s="3"/>
      <c r="H521" s="9"/>
      <c r="I521" s="9"/>
      <c r="J521" s="9"/>
      <c r="K521" s="10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3"/>
      <c r="AM521" s="3"/>
      <c r="AN521" s="10"/>
      <c r="AO521" s="3"/>
      <c r="AP521" s="3"/>
      <c r="AQ521" s="3"/>
      <c r="AR521" s="3"/>
      <c r="AS521" s="3"/>
      <c r="AT521" s="3"/>
      <c r="AU521" s="3"/>
      <c r="AV521" s="3"/>
    </row>
    <row r="522" spans="1:48" ht="15.4" x14ac:dyDescent="0.35">
      <c r="A522" s="9"/>
      <c r="B522" s="3"/>
      <c r="C522" s="10"/>
      <c r="D522" s="10"/>
      <c r="E522" s="10"/>
      <c r="F522" s="10"/>
      <c r="G522" s="3"/>
      <c r="H522" s="9"/>
      <c r="I522" s="9"/>
      <c r="J522" s="9"/>
      <c r="K522" s="10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3"/>
      <c r="AM522" s="3"/>
      <c r="AN522" s="10"/>
      <c r="AO522" s="3"/>
      <c r="AP522" s="3"/>
      <c r="AQ522" s="3"/>
      <c r="AR522" s="3"/>
      <c r="AS522" s="3"/>
      <c r="AT522" s="3"/>
      <c r="AU522" s="3"/>
      <c r="AV522" s="3"/>
    </row>
    <row r="523" spans="1:48" ht="15.4" x14ac:dyDescent="0.35">
      <c r="A523" s="9"/>
      <c r="B523" s="3"/>
      <c r="C523" s="10"/>
      <c r="D523" s="10"/>
      <c r="E523" s="10"/>
      <c r="F523" s="10"/>
      <c r="G523" s="3"/>
      <c r="H523" s="9"/>
      <c r="I523" s="9"/>
      <c r="J523" s="9"/>
      <c r="K523" s="10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3"/>
      <c r="AM523" s="3"/>
      <c r="AN523" s="10"/>
      <c r="AO523" s="3"/>
      <c r="AP523" s="3"/>
      <c r="AQ523" s="3"/>
      <c r="AR523" s="3"/>
      <c r="AS523" s="3"/>
      <c r="AT523" s="3"/>
      <c r="AU523" s="3"/>
      <c r="AV523" s="3"/>
    </row>
    <row r="524" spans="1:48" ht="15.4" x14ac:dyDescent="0.35">
      <c r="A524" s="9"/>
      <c r="B524" s="3"/>
      <c r="C524" s="10"/>
      <c r="D524" s="10"/>
      <c r="E524" s="10"/>
      <c r="F524" s="10"/>
      <c r="G524" s="3"/>
      <c r="H524" s="9"/>
      <c r="I524" s="9"/>
      <c r="J524" s="9"/>
      <c r="K524" s="10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3"/>
      <c r="AM524" s="3"/>
      <c r="AN524" s="10"/>
      <c r="AO524" s="3"/>
      <c r="AP524" s="3"/>
      <c r="AQ524" s="3"/>
      <c r="AR524" s="3"/>
      <c r="AS524" s="3"/>
      <c r="AT524" s="3"/>
      <c r="AU524" s="3"/>
      <c r="AV524" s="3"/>
    </row>
    <row r="525" spans="1:48" ht="15.4" x14ac:dyDescent="0.35">
      <c r="A525" s="9"/>
      <c r="B525" s="3"/>
      <c r="C525" s="10"/>
      <c r="D525" s="10"/>
      <c r="E525" s="10"/>
      <c r="F525" s="10"/>
      <c r="G525" s="3"/>
      <c r="H525" s="9"/>
      <c r="I525" s="9"/>
      <c r="J525" s="9"/>
      <c r="K525" s="10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3"/>
      <c r="AM525" s="3"/>
      <c r="AN525" s="10"/>
      <c r="AO525" s="3"/>
      <c r="AP525" s="3"/>
      <c r="AQ525" s="3"/>
      <c r="AR525" s="3"/>
      <c r="AS525" s="3"/>
      <c r="AT525" s="3"/>
      <c r="AU525" s="3"/>
      <c r="AV525" s="3"/>
    </row>
    <row r="526" spans="1:48" ht="15.4" x14ac:dyDescent="0.35">
      <c r="A526" s="9"/>
      <c r="B526" s="3"/>
      <c r="C526" s="10"/>
      <c r="D526" s="10"/>
      <c r="E526" s="10"/>
      <c r="F526" s="10"/>
      <c r="G526" s="3"/>
      <c r="H526" s="9"/>
      <c r="I526" s="9"/>
      <c r="J526" s="9"/>
      <c r="K526" s="10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3"/>
      <c r="AM526" s="3"/>
      <c r="AN526" s="10"/>
      <c r="AO526" s="3"/>
      <c r="AP526" s="3"/>
      <c r="AQ526" s="3"/>
      <c r="AR526" s="3"/>
      <c r="AS526" s="3"/>
      <c r="AT526" s="3"/>
      <c r="AU526" s="3"/>
      <c r="AV526" s="3"/>
    </row>
    <row r="527" spans="1:48" ht="15.4" x14ac:dyDescent="0.35">
      <c r="A527" s="9"/>
      <c r="B527" s="3"/>
      <c r="C527" s="10"/>
      <c r="D527" s="10"/>
      <c r="E527" s="10"/>
      <c r="F527" s="10"/>
      <c r="G527" s="3"/>
      <c r="H527" s="9"/>
      <c r="I527" s="9"/>
      <c r="J527" s="9"/>
      <c r="K527" s="10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3"/>
      <c r="AM527" s="3"/>
      <c r="AN527" s="10"/>
      <c r="AO527" s="3"/>
      <c r="AP527" s="3"/>
      <c r="AQ527" s="3"/>
      <c r="AR527" s="3"/>
      <c r="AS527" s="3"/>
      <c r="AT527" s="3"/>
      <c r="AU527" s="3"/>
      <c r="AV527" s="3"/>
    </row>
    <row r="528" spans="1:48" ht="15.4" x14ac:dyDescent="0.35">
      <c r="A528" s="9"/>
      <c r="B528" s="3"/>
      <c r="C528" s="10"/>
      <c r="D528" s="10"/>
      <c r="E528" s="10"/>
      <c r="F528" s="10"/>
      <c r="G528" s="3"/>
      <c r="H528" s="9"/>
      <c r="I528" s="9"/>
      <c r="J528" s="9"/>
      <c r="K528" s="10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3"/>
      <c r="AM528" s="3"/>
      <c r="AN528" s="10"/>
      <c r="AO528" s="3"/>
      <c r="AP528" s="3"/>
      <c r="AQ528" s="3"/>
      <c r="AR528" s="3"/>
      <c r="AS528" s="3"/>
      <c r="AT528" s="3"/>
      <c r="AU528" s="3"/>
      <c r="AV528" s="3"/>
    </row>
    <row r="529" spans="1:48" ht="15.4" x14ac:dyDescent="0.35">
      <c r="A529" s="9"/>
      <c r="B529" s="3"/>
      <c r="C529" s="10"/>
      <c r="D529" s="10"/>
      <c r="E529" s="10"/>
      <c r="F529" s="10"/>
      <c r="G529" s="3"/>
      <c r="H529" s="9"/>
      <c r="I529" s="9"/>
      <c r="J529" s="9"/>
      <c r="K529" s="10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3"/>
      <c r="AM529" s="3"/>
      <c r="AN529" s="10"/>
      <c r="AO529" s="3"/>
      <c r="AP529" s="3"/>
      <c r="AQ529" s="3"/>
      <c r="AR529" s="3"/>
      <c r="AS529" s="3"/>
      <c r="AT529" s="3"/>
      <c r="AU529" s="3"/>
      <c r="AV529" s="3"/>
    </row>
    <row r="530" spans="1:48" ht="15.4" x14ac:dyDescent="0.35">
      <c r="A530" s="9"/>
      <c r="B530" s="3"/>
      <c r="C530" s="10"/>
      <c r="D530" s="10"/>
      <c r="E530" s="10"/>
      <c r="F530" s="10"/>
      <c r="G530" s="3"/>
      <c r="H530" s="9"/>
      <c r="I530" s="9"/>
      <c r="J530" s="9"/>
      <c r="K530" s="10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3"/>
      <c r="AM530" s="3"/>
      <c r="AN530" s="10"/>
      <c r="AO530" s="3"/>
      <c r="AP530" s="3"/>
      <c r="AQ530" s="3"/>
      <c r="AR530" s="3"/>
      <c r="AS530" s="3"/>
      <c r="AT530" s="3"/>
      <c r="AU530" s="3"/>
      <c r="AV530" s="3"/>
    </row>
    <row r="531" spans="1:48" ht="15.4" x14ac:dyDescent="0.35">
      <c r="A531" s="9"/>
      <c r="B531" s="3"/>
      <c r="C531" s="10"/>
      <c r="D531" s="10"/>
      <c r="E531" s="10"/>
      <c r="F531" s="10"/>
      <c r="G531" s="3"/>
      <c r="H531" s="9"/>
      <c r="I531" s="9"/>
      <c r="J531" s="9"/>
      <c r="K531" s="10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3"/>
      <c r="AM531" s="3"/>
      <c r="AN531" s="10"/>
      <c r="AO531" s="3"/>
      <c r="AP531" s="3"/>
      <c r="AQ531" s="3"/>
      <c r="AR531" s="3"/>
      <c r="AS531" s="3"/>
      <c r="AT531" s="3"/>
      <c r="AU531" s="3"/>
      <c r="AV531" s="3"/>
    </row>
    <row r="532" spans="1:48" ht="15.4" x14ac:dyDescent="0.35">
      <c r="A532" s="9"/>
      <c r="B532" s="3"/>
      <c r="C532" s="10"/>
      <c r="D532" s="10"/>
      <c r="E532" s="10"/>
      <c r="F532" s="10"/>
      <c r="G532" s="3"/>
      <c r="H532" s="9"/>
      <c r="I532" s="9"/>
      <c r="J532" s="9"/>
      <c r="K532" s="10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3"/>
      <c r="AM532" s="3"/>
      <c r="AN532" s="10"/>
      <c r="AO532" s="3"/>
      <c r="AP532" s="3"/>
      <c r="AQ532" s="3"/>
      <c r="AR532" s="3"/>
      <c r="AS532" s="3"/>
      <c r="AT532" s="3"/>
      <c r="AU532" s="3"/>
      <c r="AV532" s="3"/>
    </row>
    <row r="533" spans="1:48" ht="15.4" x14ac:dyDescent="0.35">
      <c r="A533" s="9"/>
      <c r="B533" s="3"/>
      <c r="C533" s="10"/>
      <c r="D533" s="10"/>
      <c r="E533" s="10"/>
      <c r="F533" s="10"/>
      <c r="G533" s="3"/>
      <c r="H533" s="9"/>
      <c r="I533" s="9"/>
      <c r="J533" s="9"/>
      <c r="K533" s="10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3"/>
      <c r="AM533" s="3"/>
      <c r="AN533" s="10"/>
      <c r="AO533" s="3"/>
      <c r="AP533" s="3"/>
      <c r="AQ533" s="3"/>
      <c r="AR533" s="3"/>
      <c r="AS533" s="3"/>
      <c r="AT533" s="3"/>
      <c r="AU533" s="3"/>
      <c r="AV533" s="3"/>
    </row>
    <row r="534" spans="1:48" ht="15.4" x14ac:dyDescent="0.35">
      <c r="A534" s="9"/>
      <c r="B534" s="3"/>
      <c r="C534" s="10"/>
      <c r="D534" s="10"/>
      <c r="E534" s="10"/>
      <c r="F534" s="10"/>
      <c r="G534" s="3"/>
      <c r="H534" s="9"/>
      <c r="I534" s="9"/>
      <c r="J534" s="9"/>
      <c r="K534" s="10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3"/>
      <c r="AM534" s="3"/>
      <c r="AN534" s="10"/>
      <c r="AO534" s="3"/>
      <c r="AP534" s="3"/>
      <c r="AQ534" s="3"/>
      <c r="AR534" s="3"/>
      <c r="AS534" s="3"/>
      <c r="AT534" s="3"/>
      <c r="AU534" s="3"/>
      <c r="AV534" s="3"/>
    </row>
    <row r="535" spans="1:48" ht="15.4" x14ac:dyDescent="0.35">
      <c r="A535" s="9"/>
      <c r="B535" s="3"/>
      <c r="C535" s="10"/>
      <c r="D535" s="10"/>
      <c r="E535" s="10"/>
      <c r="F535" s="10"/>
      <c r="G535" s="3"/>
      <c r="H535" s="9"/>
      <c r="I535" s="9"/>
      <c r="J535" s="9"/>
      <c r="K535" s="10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3"/>
      <c r="AM535" s="3"/>
      <c r="AN535" s="10"/>
      <c r="AO535" s="3"/>
      <c r="AP535" s="3"/>
      <c r="AQ535" s="3"/>
      <c r="AR535" s="3"/>
      <c r="AS535" s="3"/>
      <c r="AT535" s="3"/>
      <c r="AU535" s="3"/>
      <c r="AV535" s="3"/>
    </row>
    <row r="536" spans="1:48" ht="15.4" x14ac:dyDescent="0.35">
      <c r="A536" s="9"/>
      <c r="B536" s="3"/>
      <c r="C536" s="10"/>
      <c r="D536" s="10"/>
      <c r="E536" s="10"/>
      <c r="F536" s="10"/>
      <c r="G536" s="3"/>
      <c r="H536" s="9"/>
      <c r="I536" s="9"/>
      <c r="J536" s="9"/>
      <c r="K536" s="10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3"/>
      <c r="AM536" s="3"/>
      <c r="AN536" s="10"/>
      <c r="AO536" s="3"/>
      <c r="AP536" s="3"/>
      <c r="AQ536" s="3"/>
      <c r="AR536" s="3"/>
      <c r="AS536" s="3"/>
      <c r="AT536" s="3"/>
      <c r="AU536" s="3"/>
      <c r="AV536" s="3"/>
    </row>
    <row r="537" spans="1:48" ht="15.4" x14ac:dyDescent="0.35">
      <c r="A537" s="9"/>
      <c r="B537" s="3"/>
      <c r="C537" s="10"/>
      <c r="D537" s="10"/>
      <c r="E537" s="10"/>
      <c r="F537" s="10"/>
      <c r="G537" s="3"/>
      <c r="H537" s="9"/>
      <c r="I537" s="9"/>
      <c r="J537" s="9"/>
      <c r="K537" s="10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3"/>
      <c r="AM537" s="3"/>
      <c r="AN537" s="10"/>
      <c r="AO537" s="3"/>
      <c r="AP537" s="3"/>
      <c r="AQ537" s="3"/>
      <c r="AR537" s="3"/>
      <c r="AS537" s="3"/>
      <c r="AT537" s="3"/>
      <c r="AU537" s="3"/>
      <c r="AV537" s="3"/>
    </row>
    <row r="538" spans="1:48" ht="15.4" x14ac:dyDescent="0.35">
      <c r="A538" s="9"/>
      <c r="B538" s="3"/>
      <c r="C538" s="10"/>
      <c r="D538" s="10"/>
      <c r="E538" s="10"/>
      <c r="F538" s="10"/>
      <c r="G538" s="3"/>
      <c r="H538" s="9"/>
      <c r="I538" s="9"/>
      <c r="J538" s="9"/>
      <c r="K538" s="10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3"/>
      <c r="AM538" s="3"/>
      <c r="AN538" s="10"/>
      <c r="AO538" s="3"/>
      <c r="AP538" s="3"/>
      <c r="AQ538" s="3"/>
      <c r="AR538" s="3"/>
      <c r="AS538" s="3"/>
      <c r="AT538" s="3"/>
      <c r="AU538" s="3"/>
      <c r="AV538" s="3"/>
    </row>
    <row r="539" spans="1:48" ht="15.4" x14ac:dyDescent="0.35">
      <c r="A539" s="9"/>
      <c r="B539" s="3"/>
      <c r="C539" s="10"/>
      <c r="D539" s="10"/>
      <c r="E539" s="10"/>
      <c r="F539" s="10"/>
      <c r="G539" s="3"/>
      <c r="H539" s="9"/>
      <c r="I539" s="9"/>
      <c r="J539" s="9"/>
      <c r="K539" s="10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3"/>
      <c r="AM539" s="3"/>
      <c r="AN539" s="10"/>
      <c r="AO539" s="3"/>
      <c r="AP539" s="3"/>
      <c r="AQ539" s="3"/>
      <c r="AR539" s="3"/>
      <c r="AS539" s="3"/>
      <c r="AT539" s="3"/>
      <c r="AU539" s="3"/>
      <c r="AV539" s="3"/>
    </row>
    <row r="540" spans="1:48" ht="15.4" x14ac:dyDescent="0.35">
      <c r="A540" s="9"/>
      <c r="B540" s="3"/>
      <c r="C540" s="10"/>
      <c r="D540" s="10"/>
      <c r="E540" s="10"/>
      <c r="F540" s="10"/>
      <c r="G540" s="3"/>
      <c r="H540" s="9"/>
      <c r="I540" s="9"/>
      <c r="J540" s="9"/>
      <c r="K540" s="10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3"/>
      <c r="AM540" s="3"/>
      <c r="AN540" s="10"/>
      <c r="AO540" s="3"/>
      <c r="AP540" s="3"/>
      <c r="AQ540" s="3"/>
      <c r="AR540" s="3"/>
      <c r="AS540" s="3"/>
      <c r="AT540" s="3"/>
      <c r="AU540" s="3"/>
      <c r="AV540" s="3"/>
    </row>
    <row r="541" spans="1:48" ht="15.4" x14ac:dyDescent="0.35">
      <c r="A541" s="9"/>
      <c r="B541" s="3"/>
      <c r="C541" s="10"/>
      <c r="D541" s="10"/>
      <c r="E541" s="10"/>
      <c r="F541" s="10"/>
      <c r="G541" s="3"/>
      <c r="H541" s="9"/>
      <c r="I541" s="9"/>
      <c r="J541" s="9"/>
      <c r="K541" s="10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3"/>
      <c r="AM541" s="3"/>
      <c r="AN541" s="10"/>
      <c r="AO541" s="3"/>
      <c r="AP541" s="3"/>
      <c r="AQ541" s="3"/>
      <c r="AR541" s="3"/>
      <c r="AS541" s="3"/>
      <c r="AT541" s="3"/>
      <c r="AU541" s="3"/>
      <c r="AV541" s="3"/>
    </row>
    <row r="542" spans="1:48" ht="15.4" x14ac:dyDescent="0.35">
      <c r="A542" s="9"/>
      <c r="B542" s="3"/>
      <c r="C542" s="10"/>
      <c r="D542" s="10"/>
      <c r="E542" s="10"/>
      <c r="F542" s="10"/>
      <c r="G542" s="3"/>
      <c r="H542" s="9"/>
      <c r="I542" s="9"/>
      <c r="J542" s="9"/>
      <c r="K542" s="10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3"/>
      <c r="AM542" s="3"/>
      <c r="AN542" s="10"/>
      <c r="AO542" s="3"/>
      <c r="AP542" s="3"/>
      <c r="AQ542" s="3"/>
      <c r="AR542" s="3"/>
      <c r="AS542" s="3"/>
      <c r="AT542" s="3"/>
      <c r="AU542" s="3"/>
      <c r="AV542" s="3"/>
    </row>
    <row r="543" spans="1:48" ht="15.4" x14ac:dyDescent="0.35">
      <c r="A543" s="9"/>
      <c r="B543" s="3"/>
      <c r="C543" s="10"/>
      <c r="D543" s="10"/>
      <c r="E543" s="10"/>
      <c r="F543" s="10"/>
      <c r="G543" s="3"/>
      <c r="H543" s="9"/>
      <c r="I543" s="9"/>
      <c r="J543" s="9"/>
      <c r="K543" s="10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3"/>
      <c r="AM543" s="3"/>
      <c r="AN543" s="10"/>
      <c r="AO543" s="3"/>
      <c r="AP543" s="3"/>
      <c r="AQ543" s="3"/>
      <c r="AR543" s="3"/>
      <c r="AS543" s="3"/>
      <c r="AT543" s="3"/>
      <c r="AU543" s="3"/>
      <c r="AV543" s="3"/>
    </row>
    <row r="544" spans="1:48" ht="15.4" x14ac:dyDescent="0.35">
      <c r="A544" s="9"/>
      <c r="B544" s="3"/>
      <c r="C544" s="10"/>
      <c r="D544" s="10"/>
      <c r="E544" s="10"/>
      <c r="F544" s="10"/>
      <c r="G544" s="3"/>
      <c r="H544" s="9"/>
      <c r="I544" s="9"/>
      <c r="J544" s="9"/>
      <c r="K544" s="10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3"/>
      <c r="AM544" s="3"/>
      <c r="AN544" s="10"/>
      <c r="AO544" s="3"/>
      <c r="AP544" s="3"/>
      <c r="AQ544" s="3"/>
      <c r="AR544" s="3"/>
      <c r="AS544" s="3"/>
      <c r="AT544" s="3"/>
      <c r="AU544" s="3"/>
      <c r="AV544" s="3"/>
    </row>
    <row r="545" spans="1:48" ht="15.4" x14ac:dyDescent="0.35">
      <c r="A545" s="9"/>
      <c r="B545" s="3"/>
      <c r="C545" s="10"/>
      <c r="D545" s="10"/>
      <c r="E545" s="10"/>
      <c r="F545" s="10"/>
      <c r="G545" s="3"/>
      <c r="H545" s="9"/>
      <c r="I545" s="9"/>
      <c r="J545" s="9"/>
      <c r="K545" s="10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3"/>
      <c r="AM545" s="3"/>
      <c r="AN545" s="10"/>
      <c r="AO545" s="3"/>
      <c r="AP545" s="3"/>
      <c r="AQ545" s="3"/>
      <c r="AR545" s="3"/>
      <c r="AS545" s="3"/>
      <c r="AT545" s="3"/>
      <c r="AU545" s="3"/>
      <c r="AV545" s="3"/>
    </row>
    <row r="546" spans="1:48" ht="15.4" x14ac:dyDescent="0.35">
      <c r="A546" s="9"/>
      <c r="B546" s="3"/>
      <c r="C546" s="10"/>
      <c r="D546" s="10"/>
      <c r="E546" s="10"/>
      <c r="F546" s="10"/>
      <c r="G546" s="3"/>
      <c r="H546" s="9"/>
      <c r="I546" s="9"/>
      <c r="J546" s="9"/>
      <c r="K546" s="10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3"/>
      <c r="AM546" s="3"/>
      <c r="AN546" s="10"/>
      <c r="AO546" s="3"/>
      <c r="AP546" s="3"/>
      <c r="AQ546" s="3"/>
      <c r="AR546" s="3"/>
      <c r="AS546" s="3"/>
      <c r="AT546" s="3"/>
      <c r="AU546" s="3"/>
      <c r="AV546" s="3"/>
    </row>
    <row r="547" spans="1:48" ht="15.4" x14ac:dyDescent="0.35">
      <c r="A547" s="9"/>
      <c r="B547" s="3"/>
      <c r="C547" s="10"/>
      <c r="D547" s="10"/>
      <c r="E547" s="10"/>
      <c r="F547" s="10"/>
      <c r="G547" s="3"/>
      <c r="H547" s="9"/>
      <c r="I547" s="9"/>
      <c r="J547" s="9"/>
      <c r="K547" s="10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3"/>
      <c r="AM547" s="3"/>
      <c r="AN547" s="10"/>
      <c r="AO547" s="3"/>
      <c r="AP547" s="3"/>
      <c r="AQ547" s="3"/>
      <c r="AR547" s="3"/>
      <c r="AS547" s="3"/>
      <c r="AT547" s="3"/>
      <c r="AU547" s="3"/>
      <c r="AV547" s="3"/>
    </row>
    <row r="548" spans="1:48" ht="15.4" x14ac:dyDescent="0.35">
      <c r="A548" s="9"/>
      <c r="B548" s="3"/>
      <c r="C548" s="10"/>
      <c r="D548" s="10"/>
      <c r="E548" s="10"/>
      <c r="F548" s="10"/>
      <c r="G548" s="3"/>
      <c r="H548" s="9"/>
      <c r="I548" s="9"/>
      <c r="J548" s="9"/>
      <c r="K548" s="10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3"/>
      <c r="AM548" s="3"/>
      <c r="AN548" s="10"/>
      <c r="AO548" s="3"/>
      <c r="AP548" s="3"/>
      <c r="AQ548" s="3"/>
      <c r="AR548" s="3"/>
      <c r="AS548" s="3"/>
      <c r="AT548" s="3"/>
      <c r="AU548" s="3"/>
      <c r="AV548" s="3"/>
    </row>
    <row r="549" spans="1:48" ht="15.4" x14ac:dyDescent="0.35">
      <c r="A549" s="9"/>
      <c r="B549" s="3"/>
      <c r="C549" s="10"/>
      <c r="D549" s="10"/>
      <c r="E549" s="10"/>
      <c r="F549" s="10"/>
      <c r="G549" s="3"/>
      <c r="H549" s="9"/>
      <c r="I549" s="9"/>
      <c r="J549" s="9"/>
      <c r="K549" s="10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3"/>
      <c r="AM549" s="3"/>
      <c r="AN549" s="10"/>
      <c r="AO549" s="3"/>
      <c r="AP549" s="3"/>
      <c r="AQ549" s="3"/>
      <c r="AR549" s="3"/>
      <c r="AS549" s="3"/>
      <c r="AT549" s="3"/>
      <c r="AU549" s="3"/>
      <c r="AV549" s="3"/>
    </row>
    <row r="550" spans="1:48" ht="15.4" x14ac:dyDescent="0.35">
      <c r="A550" s="9"/>
      <c r="B550" s="3"/>
      <c r="C550" s="10"/>
      <c r="D550" s="10"/>
      <c r="E550" s="10"/>
      <c r="F550" s="10"/>
      <c r="G550" s="3"/>
      <c r="H550" s="9"/>
      <c r="I550" s="9"/>
      <c r="J550" s="9"/>
      <c r="K550" s="10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3"/>
      <c r="AM550" s="3"/>
      <c r="AN550" s="10"/>
      <c r="AO550" s="3"/>
      <c r="AP550" s="3"/>
      <c r="AQ550" s="3"/>
      <c r="AR550" s="3"/>
      <c r="AS550" s="3"/>
      <c r="AT550" s="3"/>
      <c r="AU550" s="3"/>
      <c r="AV550" s="3"/>
    </row>
    <row r="551" spans="1:48" ht="15.4" x14ac:dyDescent="0.35">
      <c r="A551" s="9"/>
      <c r="B551" s="3"/>
      <c r="C551" s="10"/>
      <c r="D551" s="10"/>
      <c r="E551" s="10"/>
      <c r="F551" s="10"/>
      <c r="G551" s="3"/>
      <c r="H551" s="9"/>
      <c r="I551" s="9"/>
      <c r="J551" s="9"/>
      <c r="K551" s="10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3"/>
      <c r="AM551" s="3"/>
      <c r="AN551" s="10"/>
      <c r="AO551" s="3"/>
      <c r="AP551" s="3"/>
      <c r="AQ551" s="3"/>
      <c r="AR551" s="3"/>
      <c r="AS551" s="3"/>
      <c r="AT551" s="3"/>
      <c r="AU551" s="3"/>
      <c r="AV551" s="3"/>
    </row>
    <row r="552" spans="1:48" ht="15.4" x14ac:dyDescent="0.35">
      <c r="A552" s="9"/>
      <c r="B552" s="3"/>
      <c r="C552" s="10"/>
      <c r="D552" s="10"/>
      <c r="E552" s="10"/>
      <c r="F552" s="10"/>
      <c r="G552" s="3"/>
      <c r="H552" s="9"/>
      <c r="I552" s="9"/>
      <c r="J552" s="9"/>
      <c r="K552" s="10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3"/>
      <c r="AM552" s="3"/>
      <c r="AN552" s="10"/>
      <c r="AO552" s="3"/>
      <c r="AP552" s="3"/>
      <c r="AQ552" s="3"/>
      <c r="AR552" s="3"/>
      <c r="AS552" s="3"/>
      <c r="AT552" s="3"/>
      <c r="AU552" s="3"/>
      <c r="AV552" s="3"/>
    </row>
    <row r="553" spans="1:48" ht="15.4" x14ac:dyDescent="0.35">
      <c r="A553" s="9"/>
      <c r="B553" s="3"/>
      <c r="C553" s="10"/>
      <c r="D553" s="10"/>
      <c r="E553" s="10"/>
      <c r="F553" s="10"/>
      <c r="G553" s="3"/>
      <c r="H553" s="9"/>
      <c r="I553" s="9"/>
      <c r="J553" s="9"/>
      <c r="K553" s="10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3"/>
      <c r="AM553" s="3"/>
      <c r="AN553" s="10"/>
      <c r="AO553" s="3"/>
      <c r="AP553" s="3"/>
      <c r="AQ553" s="3"/>
      <c r="AR553" s="3"/>
      <c r="AS553" s="3"/>
      <c r="AT553" s="3"/>
      <c r="AU553" s="3"/>
      <c r="AV553" s="3"/>
    </row>
    <row r="554" spans="1:48" ht="15.4" x14ac:dyDescent="0.35">
      <c r="A554" s="9"/>
      <c r="B554" s="3"/>
      <c r="C554" s="10"/>
      <c r="D554" s="10"/>
      <c r="E554" s="10"/>
      <c r="F554" s="10"/>
      <c r="G554" s="3"/>
      <c r="H554" s="9"/>
      <c r="I554" s="9"/>
      <c r="J554" s="9"/>
      <c r="K554" s="10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3"/>
      <c r="AM554" s="3"/>
      <c r="AN554" s="10"/>
      <c r="AO554" s="3"/>
      <c r="AP554" s="3"/>
      <c r="AQ554" s="3"/>
      <c r="AR554" s="3"/>
      <c r="AS554" s="3"/>
      <c r="AT554" s="3"/>
      <c r="AU554" s="3"/>
      <c r="AV554" s="3"/>
    </row>
    <row r="555" spans="1:48" ht="15.4" x14ac:dyDescent="0.35">
      <c r="A555" s="9"/>
      <c r="B555" s="3"/>
      <c r="C555" s="10"/>
      <c r="D555" s="10"/>
      <c r="E555" s="10"/>
      <c r="F555" s="10"/>
      <c r="G555" s="3"/>
      <c r="H555" s="9"/>
      <c r="I555" s="9"/>
      <c r="J555" s="9"/>
      <c r="K555" s="10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3"/>
      <c r="AM555" s="3"/>
      <c r="AN555" s="10"/>
      <c r="AO555" s="3"/>
      <c r="AP555" s="3"/>
      <c r="AQ555" s="3"/>
      <c r="AR555" s="3"/>
      <c r="AS555" s="3"/>
      <c r="AT555" s="3"/>
      <c r="AU555" s="3"/>
      <c r="AV555" s="3"/>
    </row>
    <row r="556" spans="1:48" ht="15.4" x14ac:dyDescent="0.35">
      <c r="A556" s="9"/>
      <c r="B556" s="3"/>
      <c r="C556" s="10"/>
      <c r="D556" s="10"/>
      <c r="E556" s="10"/>
      <c r="F556" s="10"/>
      <c r="G556" s="3"/>
      <c r="H556" s="9"/>
      <c r="I556" s="9"/>
      <c r="J556" s="9"/>
      <c r="K556" s="10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3"/>
      <c r="AM556" s="3"/>
      <c r="AN556" s="10"/>
      <c r="AO556" s="3"/>
      <c r="AP556" s="3"/>
      <c r="AQ556" s="3"/>
      <c r="AR556" s="3"/>
      <c r="AS556" s="3"/>
      <c r="AT556" s="3"/>
      <c r="AU556" s="3"/>
      <c r="AV556" s="3"/>
    </row>
    <row r="557" spans="1:48" ht="15.4" x14ac:dyDescent="0.35">
      <c r="A557" s="9"/>
      <c r="B557" s="3"/>
      <c r="C557" s="10"/>
      <c r="D557" s="10"/>
      <c r="E557" s="10"/>
      <c r="F557" s="10"/>
      <c r="G557" s="3"/>
      <c r="H557" s="9"/>
      <c r="I557" s="9"/>
      <c r="J557" s="9"/>
      <c r="K557" s="10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3"/>
      <c r="AM557" s="3"/>
      <c r="AN557" s="10"/>
      <c r="AO557" s="3"/>
      <c r="AP557" s="3"/>
      <c r="AQ557" s="3"/>
      <c r="AR557" s="3"/>
      <c r="AS557" s="3"/>
      <c r="AT557" s="3"/>
      <c r="AU557" s="3"/>
      <c r="AV557" s="3"/>
    </row>
    <row r="558" spans="1:48" ht="15.4" x14ac:dyDescent="0.35">
      <c r="A558" s="9"/>
      <c r="B558" s="3"/>
      <c r="C558" s="10"/>
      <c r="D558" s="10"/>
      <c r="E558" s="10"/>
      <c r="F558" s="10"/>
      <c r="G558" s="3"/>
      <c r="H558" s="9"/>
      <c r="I558" s="9"/>
      <c r="J558" s="9"/>
      <c r="K558" s="10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3"/>
      <c r="AM558" s="3"/>
      <c r="AN558" s="10"/>
      <c r="AO558" s="3"/>
      <c r="AP558" s="3"/>
      <c r="AQ558" s="3"/>
      <c r="AR558" s="3"/>
      <c r="AS558" s="3"/>
      <c r="AT558" s="3"/>
      <c r="AU558" s="3"/>
      <c r="AV558" s="3"/>
    </row>
    <row r="559" spans="1:48" ht="15.4" x14ac:dyDescent="0.35">
      <c r="A559" s="9"/>
      <c r="B559" s="3"/>
      <c r="C559" s="10"/>
      <c r="D559" s="10"/>
      <c r="E559" s="10"/>
      <c r="F559" s="10"/>
      <c r="G559" s="3"/>
      <c r="H559" s="9"/>
      <c r="I559" s="9"/>
      <c r="J559" s="9"/>
      <c r="K559" s="10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3"/>
      <c r="AM559" s="3"/>
      <c r="AN559" s="10"/>
      <c r="AO559" s="3"/>
      <c r="AP559" s="3"/>
      <c r="AQ559" s="3"/>
      <c r="AR559" s="3"/>
      <c r="AS559" s="3"/>
      <c r="AT559" s="3"/>
      <c r="AU559" s="3"/>
      <c r="AV559" s="3"/>
    </row>
    <row r="560" spans="1:48" ht="15.4" x14ac:dyDescent="0.35">
      <c r="A560" s="9"/>
      <c r="B560" s="3"/>
      <c r="C560" s="10"/>
      <c r="D560" s="10"/>
      <c r="E560" s="10"/>
      <c r="F560" s="10"/>
      <c r="G560" s="3"/>
      <c r="H560" s="9"/>
      <c r="I560" s="9"/>
      <c r="J560" s="9"/>
      <c r="K560" s="10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3"/>
      <c r="AM560" s="3"/>
      <c r="AN560" s="10"/>
      <c r="AO560" s="3"/>
      <c r="AP560" s="3"/>
      <c r="AQ560" s="3"/>
      <c r="AR560" s="3"/>
      <c r="AS560" s="3"/>
      <c r="AT560" s="3"/>
      <c r="AU560" s="3"/>
      <c r="AV560" s="3"/>
    </row>
    <row r="561" spans="1:48" ht="15.4" x14ac:dyDescent="0.35">
      <c r="A561" s="9"/>
      <c r="B561" s="3"/>
      <c r="C561" s="10"/>
      <c r="D561" s="10"/>
      <c r="E561" s="10"/>
      <c r="F561" s="10"/>
      <c r="G561" s="3"/>
      <c r="H561" s="9"/>
      <c r="I561" s="9"/>
      <c r="J561" s="9"/>
      <c r="K561" s="10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3"/>
      <c r="AM561" s="3"/>
      <c r="AN561" s="10"/>
      <c r="AO561" s="3"/>
      <c r="AP561" s="3"/>
      <c r="AQ561" s="3"/>
      <c r="AR561" s="3"/>
      <c r="AS561" s="3"/>
      <c r="AT561" s="3"/>
      <c r="AU561" s="3"/>
      <c r="AV561" s="3"/>
    </row>
    <row r="562" spans="1:48" ht="15.4" x14ac:dyDescent="0.35">
      <c r="A562" s="9"/>
      <c r="B562" s="3"/>
      <c r="C562" s="10"/>
      <c r="D562" s="10"/>
      <c r="E562" s="10"/>
      <c r="F562" s="10"/>
      <c r="G562" s="3"/>
      <c r="H562" s="9"/>
      <c r="I562" s="9"/>
      <c r="J562" s="9"/>
      <c r="K562" s="10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3"/>
      <c r="AM562" s="3"/>
      <c r="AN562" s="10"/>
      <c r="AO562" s="3"/>
      <c r="AP562" s="3"/>
      <c r="AQ562" s="3"/>
      <c r="AR562" s="3"/>
      <c r="AS562" s="3"/>
      <c r="AT562" s="3"/>
      <c r="AU562" s="3"/>
      <c r="AV562" s="3"/>
    </row>
    <row r="563" spans="1:48" ht="15.4" x14ac:dyDescent="0.35">
      <c r="A563" s="9"/>
      <c r="B563" s="3"/>
      <c r="C563" s="10"/>
      <c r="D563" s="10"/>
      <c r="E563" s="10"/>
      <c r="F563" s="10"/>
      <c r="G563" s="3"/>
      <c r="H563" s="9"/>
      <c r="I563" s="9"/>
      <c r="J563" s="9"/>
      <c r="K563" s="10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3"/>
      <c r="AM563" s="3"/>
      <c r="AN563" s="10"/>
      <c r="AO563" s="3"/>
      <c r="AP563" s="3"/>
      <c r="AQ563" s="3"/>
      <c r="AR563" s="3"/>
      <c r="AS563" s="3"/>
      <c r="AT563" s="3"/>
      <c r="AU563" s="3"/>
      <c r="AV563" s="3"/>
    </row>
    <row r="564" spans="1:48" ht="15.4" x14ac:dyDescent="0.35">
      <c r="A564" s="9"/>
      <c r="B564" s="3"/>
      <c r="C564" s="10"/>
      <c r="D564" s="10"/>
      <c r="E564" s="10"/>
      <c r="F564" s="10"/>
      <c r="G564" s="3"/>
      <c r="H564" s="9"/>
      <c r="I564" s="9"/>
      <c r="J564" s="9"/>
      <c r="K564" s="10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3"/>
      <c r="AM564" s="3"/>
      <c r="AN564" s="10"/>
      <c r="AO564" s="3"/>
      <c r="AP564" s="3"/>
      <c r="AQ564" s="3"/>
      <c r="AR564" s="3"/>
      <c r="AS564" s="3"/>
      <c r="AT564" s="3"/>
      <c r="AU564" s="3"/>
      <c r="AV564" s="3"/>
    </row>
    <row r="565" spans="1:48" ht="15.4" x14ac:dyDescent="0.35">
      <c r="A565" s="9"/>
      <c r="B565" s="3"/>
      <c r="C565" s="10"/>
      <c r="D565" s="10"/>
      <c r="E565" s="10"/>
      <c r="F565" s="10"/>
      <c r="G565" s="3"/>
      <c r="H565" s="9"/>
      <c r="I565" s="9"/>
      <c r="J565" s="9"/>
      <c r="K565" s="10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3"/>
      <c r="AM565" s="3"/>
      <c r="AN565" s="10"/>
      <c r="AO565" s="3"/>
      <c r="AP565" s="3"/>
      <c r="AQ565" s="3"/>
      <c r="AR565" s="3"/>
      <c r="AS565" s="3"/>
      <c r="AT565" s="3"/>
      <c r="AU565" s="3"/>
      <c r="AV565" s="3"/>
    </row>
    <row r="566" spans="1:48" ht="15.4" x14ac:dyDescent="0.35">
      <c r="A566" s="9"/>
      <c r="B566" s="3"/>
      <c r="C566" s="10"/>
      <c r="D566" s="10"/>
      <c r="E566" s="10"/>
      <c r="F566" s="10"/>
      <c r="G566" s="3"/>
      <c r="H566" s="9"/>
      <c r="I566" s="9"/>
      <c r="J566" s="9"/>
      <c r="K566" s="10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3"/>
      <c r="AM566" s="3"/>
      <c r="AN566" s="10"/>
      <c r="AO566" s="3"/>
      <c r="AP566" s="3"/>
      <c r="AQ566" s="3"/>
      <c r="AR566" s="3"/>
      <c r="AS566" s="3"/>
      <c r="AT566" s="3"/>
      <c r="AU566" s="3"/>
      <c r="AV566" s="3"/>
    </row>
    <row r="567" spans="1:48" ht="15.4" x14ac:dyDescent="0.35">
      <c r="A567" s="9"/>
      <c r="B567" s="3"/>
      <c r="C567" s="10"/>
      <c r="D567" s="10"/>
      <c r="E567" s="10"/>
      <c r="F567" s="10"/>
      <c r="G567" s="3"/>
      <c r="H567" s="9"/>
      <c r="I567" s="9"/>
      <c r="J567" s="9"/>
      <c r="K567" s="10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3"/>
      <c r="AM567" s="3"/>
      <c r="AN567" s="10"/>
      <c r="AO567" s="3"/>
      <c r="AP567" s="3"/>
      <c r="AQ567" s="3"/>
      <c r="AR567" s="3"/>
      <c r="AS567" s="3"/>
      <c r="AT567" s="3"/>
      <c r="AU567" s="3"/>
      <c r="AV567" s="3"/>
    </row>
    <row r="568" spans="1:48" ht="15.4" x14ac:dyDescent="0.35">
      <c r="A568" s="9"/>
      <c r="B568" s="3"/>
      <c r="C568" s="10"/>
      <c r="D568" s="10"/>
      <c r="E568" s="10"/>
      <c r="F568" s="10"/>
      <c r="G568" s="3"/>
      <c r="H568" s="9"/>
      <c r="I568" s="9"/>
      <c r="J568" s="9"/>
      <c r="K568" s="10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3"/>
      <c r="AM568" s="3"/>
      <c r="AN568" s="10"/>
      <c r="AO568" s="3"/>
      <c r="AP568" s="3"/>
      <c r="AQ568" s="3"/>
      <c r="AR568" s="3"/>
      <c r="AS568" s="3"/>
      <c r="AT568" s="3"/>
      <c r="AU568" s="3"/>
      <c r="AV568" s="3"/>
    </row>
    <row r="569" spans="1:48" ht="15.4" x14ac:dyDescent="0.35">
      <c r="A569" s="9"/>
      <c r="B569" s="3"/>
      <c r="C569" s="10"/>
      <c r="D569" s="10"/>
      <c r="E569" s="10"/>
      <c r="F569" s="10"/>
      <c r="G569" s="3"/>
      <c r="H569" s="9"/>
      <c r="I569" s="9"/>
      <c r="J569" s="9"/>
      <c r="K569" s="10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3"/>
      <c r="AM569" s="3"/>
      <c r="AN569" s="10"/>
      <c r="AO569" s="3"/>
      <c r="AP569" s="3"/>
      <c r="AQ569" s="3"/>
      <c r="AR569" s="3"/>
      <c r="AS569" s="3"/>
      <c r="AT569" s="3"/>
      <c r="AU569" s="3"/>
      <c r="AV569" s="3"/>
    </row>
    <row r="570" spans="1:48" ht="15.4" x14ac:dyDescent="0.35">
      <c r="A570" s="9"/>
      <c r="B570" s="3"/>
      <c r="C570" s="10"/>
      <c r="D570" s="10"/>
      <c r="E570" s="10"/>
      <c r="F570" s="10"/>
      <c r="G570" s="3"/>
      <c r="H570" s="9"/>
      <c r="I570" s="9"/>
      <c r="J570" s="9"/>
      <c r="K570" s="10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3"/>
      <c r="AM570" s="3"/>
      <c r="AN570" s="10"/>
      <c r="AO570" s="3"/>
      <c r="AP570" s="3"/>
      <c r="AQ570" s="3"/>
      <c r="AR570" s="3"/>
      <c r="AS570" s="3"/>
      <c r="AT570" s="3"/>
      <c r="AU570" s="3"/>
      <c r="AV570" s="3"/>
    </row>
    <row r="571" spans="1:48" ht="15.4" x14ac:dyDescent="0.35">
      <c r="A571" s="9"/>
      <c r="B571" s="3"/>
      <c r="C571" s="10"/>
      <c r="D571" s="10"/>
      <c r="E571" s="10"/>
      <c r="F571" s="10"/>
      <c r="G571" s="3"/>
      <c r="H571" s="9"/>
      <c r="I571" s="9"/>
      <c r="J571" s="9"/>
      <c r="K571" s="10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3"/>
      <c r="AM571" s="3"/>
      <c r="AN571" s="10"/>
      <c r="AO571" s="3"/>
      <c r="AP571" s="3"/>
      <c r="AQ571" s="3"/>
      <c r="AR571" s="3"/>
      <c r="AS571" s="3"/>
      <c r="AT571" s="3"/>
      <c r="AU571" s="3"/>
      <c r="AV571" s="3"/>
    </row>
    <row r="572" spans="1:48" ht="15.4" x14ac:dyDescent="0.35">
      <c r="A572" s="9"/>
      <c r="B572" s="3"/>
      <c r="C572" s="10"/>
      <c r="D572" s="10"/>
      <c r="E572" s="10"/>
      <c r="F572" s="10"/>
      <c r="G572" s="3"/>
      <c r="H572" s="9"/>
      <c r="I572" s="9"/>
      <c r="J572" s="9"/>
      <c r="K572" s="10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3"/>
      <c r="AM572" s="3"/>
      <c r="AN572" s="10"/>
      <c r="AO572" s="3"/>
      <c r="AP572" s="3"/>
      <c r="AQ572" s="3"/>
      <c r="AR572" s="3"/>
      <c r="AS572" s="3"/>
      <c r="AT572" s="3"/>
      <c r="AU572" s="3"/>
      <c r="AV572" s="3"/>
    </row>
    <row r="573" spans="1:48" ht="15.4" x14ac:dyDescent="0.35">
      <c r="A573" s="9"/>
      <c r="B573" s="3"/>
      <c r="C573" s="10"/>
      <c r="D573" s="10"/>
      <c r="E573" s="10"/>
      <c r="F573" s="10"/>
      <c r="G573" s="3"/>
      <c r="H573" s="9"/>
      <c r="I573" s="9"/>
      <c r="J573" s="9"/>
      <c r="K573" s="10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3"/>
      <c r="AM573" s="3"/>
      <c r="AN573" s="10"/>
      <c r="AO573" s="3"/>
      <c r="AP573" s="3"/>
      <c r="AQ573" s="3"/>
      <c r="AR573" s="3"/>
      <c r="AS573" s="3"/>
      <c r="AT573" s="3"/>
      <c r="AU573" s="3"/>
      <c r="AV573" s="3"/>
    </row>
    <row r="574" spans="1:48" ht="15.4" x14ac:dyDescent="0.35">
      <c r="A574" s="9"/>
      <c r="B574" s="3"/>
      <c r="C574" s="10"/>
      <c r="D574" s="10"/>
      <c r="E574" s="10"/>
      <c r="F574" s="10"/>
      <c r="G574" s="3"/>
      <c r="H574" s="9"/>
      <c r="I574" s="9"/>
      <c r="J574" s="9"/>
      <c r="K574" s="10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3"/>
      <c r="AM574" s="3"/>
      <c r="AN574" s="10"/>
      <c r="AO574" s="3"/>
      <c r="AP574" s="3"/>
      <c r="AQ574" s="3"/>
      <c r="AR574" s="3"/>
      <c r="AS574" s="3"/>
      <c r="AT574" s="3"/>
      <c r="AU574" s="3"/>
      <c r="AV574" s="3"/>
    </row>
    <row r="575" spans="1:48" ht="15.4" x14ac:dyDescent="0.35">
      <c r="A575" s="9"/>
      <c r="B575" s="3"/>
      <c r="C575" s="10"/>
      <c r="D575" s="10"/>
      <c r="E575" s="10"/>
      <c r="F575" s="10"/>
      <c r="G575" s="3"/>
      <c r="H575" s="9"/>
      <c r="I575" s="9"/>
      <c r="J575" s="9"/>
      <c r="K575" s="10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3"/>
      <c r="AM575" s="3"/>
      <c r="AN575" s="10"/>
      <c r="AO575" s="3"/>
      <c r="AP575" s="3"/>
      <c r="AQ575" s="3"/>
      <c r="AR575" s="3"/>
      <c r="AS575" s="3"/>
      <c r="AT575" s="3"/>
      <c r="AU575" s="3"/>
      <c r="AV575" s="3"/>
    </row>
    <row r="576" spans="1:48" ht="15.4" x14ac:dyDescent="0.35">
      <c r="A576" s="9"/>
      <c r="B576" s="3"/>
      <c r="C576" s="10"/>
      <c r="D576" s="10"/>
      <c r="E576" s="10"/>
      <c r="F576" s="10"/>
      <c r="G576" s="3"/>
      <c r="H576" s="9"/>
      <c r="I576" s="9"/>
      <c r="J576" s="9"/>
      <c r="K576" s="10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3"/>
      <c r="AM576" s="3"/>
      <c r="AN576" s="10"/>
      <c r="AO576" s="3"/>
      <c r="AP576" s="3"/>
      <c r="AQ576" s="3"/>
      <c r="AR576" s="3"/>
      <c r="AS576" s="3"/>
      <c r="AT576" s="3"/>
      <c r="AU576" s="3"/>
      <c r="AV576" s="3"/>
    </row>
    <row r="577" spans="1:48" ht="15.4" x14ac:dyDescent="0.35">
      <c r="A577" s="9"/>
      <c r="B577" s="3"/>
      <c r="C577" s="10"/>
      <c r="D577" s="10"/>
      <c r="E577" s="10"/>
      <c r="F577" s="10"/>
      <c r="G577" s="3"/>
      <c r="H577" s="9"/>
      <c r="I577" s="9"/>
      <c r="J577" s="9"/>
      <c r="K577" s="10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3"/>
      <c r="AM577" s="3"/>
      <c r="AN577" s="10"/>
      <c r="AO577" s="3"/>
      <c r="AP577" s="3"/>
      <c r="AQ577" s="3"/>
      <c r="AR577" s="3"/>
      <c r="AS577" s="3"/>
      <c r="AT577" s="3"/>
      <c r="AU577" s="3"/>
      <c r="AV577" s="3"/>
    </row>
    <row r="578" spans="1:48" ht="15.4" x14ac:dyDescent="0.35">
      <c r="A578" s="9"/>
      <c r="B578" s="3"/>
      <c r="C578" s="10"/>
      <c r="D578" s="10"/>
      <c r="E578" s="10"/>
      <c r="F578" s="10"/>
      <c r="G578" s="3"/>
      <c r="H578" s="9"/>
      <c r="I578" s="9"/>
      <c r="J578" s="9"/>
      <c r="K578" s="10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3"/>
      <c r="AM578" s="3"/>
      <c r="AN578" s="10"/>
      <c r="AO578" s="3"/>
      <c r="AP578" s="3"/>
      <c r="AQ578" s="3"/>
      <c r="AR578" s="3"/>
      <c r="AS578" s="3"/>
      <c r="AT578" s="3"/>
      <c r="AU578" s="3"/>
      <c r="AV578" s="3"/>
    </row>
    <row r="579" spans="1:48" ht="15.4" x14ac:dyDescent="0.35">
      <c r="A579" s="9"/>
      <c r="B579" s="3"/>
      <c r="C579" s="10"/>
      <c r="D579" s="10"/>
      <c r="E579" s="10"/>
      <c r="F579" s="10"/>
      <c r="G579" s="3"/>
      <c r="H579" s="9"/>
      <c r="I579" s="9"/>
      <c r="J579" s="9"/>
      <c r="K579" s="10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3"/>
      <c r="AM579" s="3"/>
      <c r="AN579" s="10"/>
      <c r="AO579" s="3"/>
      <c r="AP579" s="3"/>
      <c r="AQ579" s="3"/>
      <c r="AR579" s="3"/>
      <c r="AS579" s="3"/>
      <c r="AT579" s="3"/>
      <c r="AU579" s="3"/>
      <c r="AV579" s="3"/>
    </row>
    <row r="580" spans="1:48" ht="15.4" x14ac:dyDescent="0.35">
      <c r="A580" s="9"/>
      <c r="B580" s="3"/>
      <c r="C580" s="10"/>
      <c r="D580" s="10"/>
      <c r="E580" s="10"/>
      <c r="F580" s="10"/>
      <c r="G580" s="3"/>
      <c r="H580" s="9"/>
      <c r="I580" s="9"/>
      <c r="J580" s="9"/>
      <c r="K580" s="10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3"/>
      <c r="AM580" s="3"/>
      <c r="AN580" s="10"/>
      <c r="AO580" s="3"/>
      <c r="AP580" s="3"/>
      <c r="AQ580" s="3"/>
      <c r="AR580" s="3"/>
      <c r="AS580" s="3"/>
      <c r="AT580" s="3"/>
      <c r="AU580" s="3"/>
      <c r="AV580" s="3"/>
    </row>
    <row r="581" spans="1:48" ht="15.4" x14ac:dyDescent="0.35">
      <c r="A581" s="9"/>
      <c r="B581" s="3"/>
      <c r="C581" s="10"/>
      <c r="D581" s="10"/>
      <c r="E581" s="10"/>
      <c r="F581" s="10"/>
      <c r="G581" s="3"/>
      <c r="H581" s="9"/>
      <c r="I581" s="9"/>
      <c r="J581" s="9"/>
      <c r="K581" s="10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3"/>
      <c r="AM581" s="3"/>
      <c r="AN581" s="10"/>
      <c r="AO581" s="3"/>
      <c r="AP581" s="3"/>
      <c r="AQ581" s="3"/>
      <c r="AR581" s="3"/>
      <c r="AS581" s="3"/>
      <c r="AT581" s="3"/>
      <c r="AU581" s="3"/>
      <c r="AV581" s="3"/>
    </row>
    <row r="582" spans="1:48" ht="15.4" x14ac:dyDescent="0.35">
      <c r="A582" s="9"/>
      <c r="B582" s="3"/>
      <c r="C582" s="10"/>
      <c r="D582" s="10"/>
      <c r="E582" s="10"/>
      <c r="F582" s="10"/>
      <c r="G582" s="3"/>
      <c r="H582" s="9"/>
      <c r="I582" s="9"/>
      <c r="J582" s="9"/>
      <c r="K582" s="10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3"/>
      <c r="AM582" s="3"/>
      <c r="AN582" s="10"/>
      <c r="AO582" s="3"/>
      <c r="AP582" s="3"/>
      <c r="AQ582" s="3"/>
      <c r="AR582" s="3"/>
      <c r="AS582" s="3"/>
      <c r="AT582" s="3"/>
      <c r="AU582" s="3"/>
      <c r="AV582" s="3"/>
    </row>
    <row r="583" spans="1:48" ht="15.4" x14ac:dyDescent="0.35">
      <c r="A583" s="9"/>
      <c r="B583" s="3"/>
      <c r="C583" s="10"/>
      <c r="D583" s="10"/>
      <c r="E583" s="10"/>
      <c r="F583" s="10"/>
      <c r="G583" s="3"/>
      <c r="H583" s="9"/>
      <c r="I583" s="9"/>
      <c r="J583" s="9"/>
      <c r="K583" s="10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3"/>
      <c r="AM583" s="3"/>
      <c r="AN583" s="10"/>
      <c r="AO583" s="3"/>
      <c r="AP583" s="3"/>
      <c r="AQ583" s="3"/>
      <c r="AR583" s="3"/>
      <c r="AS583" s="3"/>
      <c r="AT583" s="3"/>
      <c r="AU583" s="3"/>
      <c r="AV583" s="3"/>
    </row>
    <row r="584" spans="1:48" ht="15.4" x14ac:dyDescent="0.35">
      <c r="A584" s="9"/>
      <c r="B584" s="3"/>
      <c r="C584" s="10"/>
      <c r="D584" s="10"/>
      <c r="E584" s="10"/>
      <c r="F584" s="10"/>
      <c r="G584" s="3"/>
      <c r="H584" s="9"/>
      <c r="I584" s="9"/>
      <c r="J584" s="9"/>
      <c r="K584" s="10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3"/>
      <c r="AM584" s="3"/>
      <c r="AN584" s="10"/>
      <c r="AO584" s="3"/>
      <c r="AP584" s="3"/>
      <c r="AQ584" s="3"/>
      <c r="AR584" s="3"/>
      <c r="AS584" s="3"/>
      <c r="AT584" s="3"/>
      <c r="AU584" s="3"/>
      <c r="AV584" s="3"/>
    </row>
    <row r="585" spans="1:48" ht="15.4" x14ac:dyDescent="0.35">
      <c r="A585" s="9"/>
      <c r="B585" s="3"/>
      <c r="C585" s="10"/>
      <c r="D585" s="10"/>
      <c r="E585" s="10"/>
      <c r="F585" s="10"/>
      <c r="G585" s="3"/>
      <c r="H585" s="9"/>
      <c r="I585" s="9"/>
      <c r="J585" s="9"/>
      <c r="K585" s="10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3"/>
      <c r="AM585" s="3"/>
      <c r="AN585" s="10"/>
      <c r="AO585" s="3"/>
      <c r="AP585" s="3"/>
      <c r="AQ585" s="3"/>
      <c r="AR585" s="3"/>
      <c r="AS585" s="3"/>
      <c r="AT585" s="3"/>
      <c r="AU585" s="3"/>
      <c r="AV585" s="3"/>
    </row>
    <row r="586" spans="1:48" ht="15.4" x14ac:dyDescent="0.35">
      <c r="A586" s="9"/>
      <c r="B586" s="3"/>
      <c r="C586" s="10"/>
      <c r="D586" s="10"/>
      <c r="E586" s="10"/>
      <c r="F586" s="10"/>
      <c r="G586" s="3"/>
      <c r="H586" s="9"/>
      <c r="I586" s="9"/>
      <c r="J586" s="9"/>
      <c r="K586" s="10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3"/>
      <c r="AM586" s="3"/>
      <c r="AN586" s="10"/>
      <c r="AO586" s="3"/>
      <c r="AP586" s="3"/>
      <c r="AQ586" s="3"/>
      <c r="AR586" s="3"/>
      <c r="AS586" s="3"/>
      <c r="AT586" s="3"/>
      <c r="AU586" s="3"/>
      <c r="AV586" s="3"/>
    </row>
    <row r="587" spans="1:48" ht="15.4" x14ac:dyDescent="0.35">
      <c r="A587" s="9"/>
      <c r="B587" s="3"/>
      <c r="C587" s="10"/>
      <c r="D587" s="10"/>
      <c r="E587" s="10"/>
      <c r="F587" s="10"/>
      <c r="G587" s="3"/>
      <c r="H587" s="9"/>
      <c r="I587" s="9"/>
      <c r="J587" s="9"/>
      <c r="K587" s="10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3"/>
      <c r="AM587" s="3"/>
      <c r="AN587" s="10"/>
      <c r="AO587" s="3"/>
      <c r="AP587" s="3"/>
      <c r="AQ587" s="3"/>
      <c r="AR587" s="3"/>
      <c r="AS587" s="3"/>
      <c r="AT587" s="3"/>
      <c r="AU587" s="3"/>
      <c r="AV587" s="3"/>
    </row>
    <row r="588" spans="1:48" ht="15.4" x14ac:dyDescent="0.35">
      <c r="A588" s="9"/>
      <c r="B588" s="3"/>
      <c r="C588" s="10"/>
      <c r="D588" s="10"/>
      <c r="E588" s="10"/>
      <c r="F588" s="10"/>
      <c r="G588" s="3"/>
      <c r="H588" s="9"/>
      <c r="I588" s="9"/>
      <c r="J588" s="9"/>
      <c r="K588" s="10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3"/>
      <c r="AM588" s="3"/>
      <c r="AN588" s="10"/>
      <c r="AO588" s="3"/>
      <c r="AP588" s="3"/>
      <c r="AQ588" s="3"/>
      <c r="AR588" s="3"/>
      <c r="AS588" s="3"/>
      <c r="AT588" s="3"/>
      <c r="AU588" s="3"/>
      <c r="AV588" s="3"/>
    </row>
    <row r="589" spans="1:48" ht="15.4" x14ac:dyDescent="0.35">
      <c r="A589" s="9"/>
      <c r="B589" s="3"/>
      <c r="C589" s="10"/>
      <c r="D589" s="10"/>
      <c r="E589" s="10"/>
      <c r="F589" s="10"/>
      <c r="G589" s="3"/>
      <c r="H589" s="9"/>
      <c r="I589" s="9"/>
      <c r="J589" s="9"/>
      <c r="K589" s="10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3"/>
      <c r="AM589" s="3"/>
      <c r="AN589" s="10"/>
      <c r="AO589" s="3"/>
      <c r="AP589" s="3"/>
      <c r="AQ589" s="3"/>
      <c r="AR589" s="3"/>
      <c r="AS589" s="3"/>
      <c r="AT589" s="3"/>
      <c r="AU589" s="3"/>
      <c r="AV589" s="3"/>
    </row>
    <row r="590" spans="1:48" ht="15.4" x14ac:dyDescent="0.35">
      <c r="A590" s="9"/>
      <c r="B590" s="3"/>
      <c r="C590" s="10"/>
      <c r="D590" s="10"/>
      <c r="E590" s="10"/>
      <c r="F590" s="10"/>
      <c r="G590" s="3"/>
      <c r="H590" s="9"/>
      <c r="I590" s="9"/>
      <c r="J590" s="9"/>
      <c r="K590" s="10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3"/>
      <c r="AM590" s="3"/>
      <c r="AN590" s="10"/>
      <c r="AO590" s="3"/>
      <c r="AP590" s="3"/>
      <c r="AQ590" s="3"/>
      <c r="AR590" s="3"/>
      <c r="AS590" s="3"/>
      <c r="AT590" s="3"/>
      <c r="AU590" s="3"/>
      <c r="AV590" s="3"/>
    </row>
    <row r="591" spans="1:48" ht="15.4" x14ac:dyDescent="0.35">
      <c r="A591" s="9"/>
      <c r="B591" s="3"/>
      <c r="C591" s="10"/>
      <c r="D591" s="10"/>
      <c r="E591" s="10"/>
      <c r="F591" s="10"/>
      <c r="G591" s="3"/>
      <c r="H591" s="9"/>
      <c r="I591" s="9"/>
      <c r="J591" s="9"/>
      <c r="K591" s="10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3"/>
      <c r="AM591" s="3"/>
      <c r="AN591" s="10"/>
      <c r="AO591" s="3"/>
      <c r="AP591" s="3"/>
      <c r="AQ591" s="3"/>
      <c r="AR591" s="3"/>
      <c r="AS591" s="3"/>
      <c r="AT591" s="3"/>
      <c r="AU591" s="3"/>
      <c r="AV591" s="3"/>
    </row>
    <row r="592" spans="1:48" ht="15.4" x14ac:dyDescent="0.35">
      <c r="A592" s="9"/>
      <c r="B592" s="3"/>
      <c r="C592" s="10"/>
      <c r="D592" s="10"/>
      <c r="E592" s="10"/>
      <c r="F592" s="10"/>
      <c r="G592" s="3"/>
      <c r="H592" s="9"/>
      <c r="I592" s="9"/>
      <c r="J592" s="9"/>
      <c r="K592" s="10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3"/>
      <c r="AM592" s="3"/>
      <c r="AN592" s="10"/>
      <c r="AO592" s="3"/>
      <c r="AP592" s="3"/>
      <c r="AQ592" s="3"/>
      <c r="AR592" s="3"/>
      <c r="AS592" s="3"/>
      <c r="AT592" s="3"/>
      <c r="AU592" s="3"/>
      <c r="AV592" s="3"/>
    </row>
    <row r="593" spans="1:48" ht="15.4" x14ac:dyDescent="0.35">
      <c r="A593" s="9"/>
      <c r="B593" s="3"/>
      <c r="C593" s="10"/>
      <c r="D593" s="10"/>
      <c r="E593" s="10"/>
      <c r="F593" s="10"/>
      <c r="G593" s="3"/>
      <c r="H593" s="9"/>
      <c r="I593" s="9"/>
      <c r="J593" s="9"/>
      <c r="K593" s="10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3"/>
      <c r="AM593" s="3"/>
      <c r="AN593" s="10"/>
      <c r="AO593" s="3"/>
      <c r="AP593" s="3"/>
      <c r="AQ593" s="3"/>
      <c r="AR593" s="3"/>
      <c r="AS593" s="3"/>
      <c r="AT593" s="3"/>
      <c r="AU593" s="3"/>
      <c r="AV593" s="3"/>
    </row>
    <row r="594" spans="1:48" ht="15.4" x14ac:dyDescent="0.35">
      <c r="A594" s="9"/>
      <c r="B594" s="3"/>
      <c r="C594" s="10"/>
      <c r="D594" s="10"/>
      <c r="E594" s="10"/>
      <c r="F594" s="10"/>
      <c r="G594" s="3"/>
      <c r="H594" s="9"/>
      <c r="I594" s="9"/>
      <c r="J594" s="9"/>
      <c r="K594" s="10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3"/>
      <c r="AM594" s="3"/>
      <c r="AN594" s="10"/>
      <c r="AO594" s="3"/>
      <c r="AP594" s="3"/>
      <c r="AQ594" s="3"/>
      <c r="AR594" s="3"/>
      <c r="AS594" s="3"/>
      <c r="AT594" s="3"/>
      <c r="AU594" s="3"/>
      <c r="AV594" s="3"/>
    </row>
    <row r="595" spans="1:48" ht="15.4" x14ac:dyDescent="0.35">
      <c r="A595" s="9"/>
      <c r="B595" s="3"/>
      <c r="C595" s="10"/>
      <c r="D595" s="10"/>
      <c r="E595" s="10"/>
      <c r="F595" s="10"/>
      <c r="G595" s="3"/>
      <c r="H595" s="9"/>
      <c r="I595" s="9"/>
      <c r="J595" s="9"/>
      <c r="K595" s="10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3"/>
      <c r="AM595" s="3"/>
      <c r="AN595" s="10"/>
      <c r="AO595" s="3"/>
      <c r="AP595" s="3"/>
      <c r="AQ595" s="3"/>
      <c r="AR595" s="3"/>
      <c r="AS595" s="3"/>
      <c r="AT595" s="3"/>
      <c r="AU595" s="3"/>
      <c r="AV595" s="3"/>
    </row>
    <row r="596" spans="1:48" ht="15.4" x14ac:dyDescent="0.35">
      <c r="A596" s="9"/>
      <c r="B596" s="3"/>
      <c r="C596" s="10"/>
      <c r="D596" s="10"/>
      <c r="E596" s="10"/>
      <c r="F596" s="10"/>
      <c r="G596" s="3"/>
      <c r="H596" s="9"/>
      <c r="I596" s="9"/>
      <c r="J596" s="9"/>
      <c r="K596" s="10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3"/>
      <c r="AM596" s="3"/>
      <c r="AN596" s="10"/>
      <c r="AO596" s="3"/>
      <c r="AP596" s="3"/>
      <c r="AQ596" s="3"/>
      <c r="AR596" s="3"/>
      <c r="AS596" s="3"/>
      <c r="AT596" s="3"/>
      <c r="AU596" s="3"/>
      <c r="AV596" s="3"/>
    </row>
    <row r="597" spans="1:48" ht="15.4" x14ac:dyDescent="0.35">
      <c r="A597" s="9"/>
      <c r="B597" s="3"/>
      <c r="C597" s="10"/>
      <c r="D597" s="10"/>
      <c r="E597" s="10"/>
      <c r="F597" s="10"/>
      <c r="G597" s="3"/>
      <c r="H597" s="9"/>
      <c r="I597" s="9"/>
      <c r="J597" s="9"/>
      <c r="K597" s="10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3"/>
      <c r="AM597" s="3"/>
      <c r="AN597" s="10"/>
      <c r="AO597" s="3"/>
      <c r="AP597" s="3"/>
      <c r="AQ597" s="3"/>
      <c r="AR597" s="3"/>
      <c r="AS597" s="3"/>
      <c r="AT597" s="3"/>
      <c r="AU597" s="3"/>
      <c r="AV597" s="3"/>
    </row>
    <row r="598" spans="1:48" ht="15.4" x14ac:dyDescent="0.35">
      <c r="A598" s="9"/>
      <c r="B598" s="3"/>
      <c r="C598" s="10"/>
      <c r="D598" s="10"/>
      <c r="E598" s="10"/>
      <c r="F598" s="10"/>
      <c r="G598" s="3"/>
      <c r="H598" s="9"/>
      <c r="I598" s="9"/>
      <c r="J598" s="9"/>
      <c r="K598" s="10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3"/>
      <c r="AM598" s="3"/>
      <c r="AN598" s="10"/>
      <c r="AO598" s="3"/>
      <c r="AP598" s="3"/>
      <c r="AQ598" s="3"/>
      <c r="AR598" s="3"/>
      <c r="AS598" s="3"/>
      <c r="AT598" s="3"/>
      <c r="AU598" s="3"/>
      <c r="AV598" s="3"/>
    </row>
    <row r="599" spans="1:48" ht="15.4" x14ac:dyDescent="0.35">
      <c r="A599" s="9"/>
      <c r="B599" s="3"/>
      <c r="C599" s="10"/>
      <c r="D599" s="10"/>
      <c r="E599" s="10"/>
      <c r="F599" s="10"/>
      <c r="G599" s="3"/>
      <c r="H599" s="9"/>
      <c r="I599" s="9"/>
      <c r="J599" s="9"/>
      <c r="K599" s="10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3"/>
      <c r="AM599" s="3"/>
      <c r="AN599" s="10"/>
      <c r="AO599" s="3"/>
      <c r="AP599" s="3"/>
      <c r="AQ599" s="3"/>
      <c r="AR599" s="3"/>
      <c r="AS599" s="3"/>
      <c r="AT599" s="3"/>
      <c r="AU599" s="3"/>
      <c r="AV599" s="3"/>
    </row>
    <row r="600" spans="1:48" ht="15.4" x14ac:dyDescent="0.35">
      <c r="A600" s="9"/>
      <c r="B600" s="3"/>
      <c r="C600" s="10"/>
      <c r="D600" s="10"/>
      <c r="E600" s="10"/>
      <c r="F600" s="10"/>
      <c r="G600" s="3"/>
      <c r="H600" s="9"/>
      <c r="I600" s="9"/>
      <c r="J600" s="9"/>
      <c r="K600" s="10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3"/>
      <c r="AM600" s="3"/>
      <c r="AN600" s="10"/>
      <c r="AO600" s="3"/>
      <c r="AP600" s="3"/>
      <c r="AQ600" s="3"/>
      <c r="AR600" s="3"/>
      <c r="AS600" s="3"/>
      <c r="AT600" s="3"/>
      <c r="AU600" s="3"/>
      <c r="AV600" s="3"/>
    </row>
    <row r="601" spans="1:48" ht="15.4" x14ac:dyDescent="0.35">
      <c r="A601" s="9"/>
      <c r="B601" s="3"/>
      <c r="C601" s="10"/>
      <c r="D601" s="10"/>
      <c r="E601" s="10"/>
      <c r="F601" s="10"/>
      <c r="G601" s="3"/>
      <c r="H601" s="9"/>
      <c r="I601" s="9"/>
      <c r="J601" s="9"/>
      <c r="K601" s="10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3"/>
      <c r="AM601" s="3"/>
      <c r="AN601" s="10"/>
      <c r="AO601" s="3"/>
      <c r="AP601" s="3"/>
      <c r="AQ601" s="3"/>
      <c r="AR601" s="3"/>
      <c r="AS601" s="3"/>
      <c r="AT601" s="3"/>
      <c r="AU601" s="3"/>
      <c r="AV601" s="3"/>
    </row>
    <row r="602" spans="1:48" ht="15.4" x14ac:dyDescent="0.35">
      <c r="A602" s="9"/>
      <c r="B602" s="3"/>
      <c r="C602" s="10"/>
      <c r="D602" s="10"/>
      <c r="E602" s="10"/>
      <c r="F602" s="10"/>
      <c r="G602" s="3"/>
      <c r="H602" s="9"/>
      <c r="I602" s="9"/>
      <c r="J602" s="9"/>
      <c r="K602" s="10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3"/>
      <c r="AM602" s="3"/>
      <c r="AN602" s="10"/>
      <c r="AO602" s="3"/>
      <c r="AP602" s="3"/>
      <c r="AQ602" s="3"/>
      <c r="AR602" s="3"/>
      <c r="AS602" s="3"/>
      <c r="AT602" s="3"/>
      <c r="AU602" s="3"/>
      <c r="AV602" s="3"/>
    </row>
    <row r="603" spans="1:48" ht="15.4" x14ac:dyDescent="0.35">
      <c r="A603" s="9"/>
      <c r="B603" s="3"/>
      <c r="C603" s="10"/>
      <c r="D603" s="10"/>
      <c r="E603" s="10"/>
      <c r="F603" s="10"/>
      <c r="G603" s="3"/>
      <c r="H603" s="9"/>
      <c r="I603" s="9"/>
      <c r="J603" s="9"/>
      <c r="K603" s="10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3"/>
      <c r="AM603" s="3"/>
      <c r="AN603" s="10"/>
      <c r="AO603" s="3"/>
      <c r="AP603" s="3"/>
      <c r="AQ603" s="3"/>
      <c r="AR603" s="3"/>
      <c r="AS603" s="3"/>
      <c r="AT603" s="3"/>
      <c r="AU603" s="3"/>
      <c r="AV603" s="3"/>
    </row>
    <row r="604" spans="1:48" ht="15.4" x14ac:dyDescent="0.35">
      <c r="A604" s="9"/>
      <c r="B604" s="3"/>
      <c r="C604" s="10"/>
      <c r="D604" s="10"/>
      <c r="E604" s="10"/>
      <c r="F604" s="10"/>
      <c r="G604" s="3"/>
      <c r="H604" s="9"/>
      <c r="I604" s="9"/>
      <c r="J604" s="9"/>
      <c r="K604" s="10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3"/>
      <c r="AM604" s="3"/>
      <c r="AN604" s="10"/>
      <c r="AO604" s="3"/>
      <c r="AP604" s="3"/>
      <c r="AQ604" s="3"/>
      <c r="AR604" s="3"/>
      <c r="AS604" s="3"/>
      <c r="AT604" s="3"/>
      <c r="AU604" s="3"/>
      <c r="AV604" s="3"/>
    </row>
    <row r="605" spans="1:48" ht="15.4" x14ac:dyDescent="0.35">
      <c r="A605" s="9"/>
      <c r="B605" s="3"/>
      <c r="C605" s="10"/>
      <c r="D605" s="10"/>
      <c r="E605" s="10"/>
      <c r="F605" s="10"/>
      <c r="G605" s="3"/>
      <c r="H605" s="9"/>
      <c r="I605" s="9"/>
      <c r="J605" s="9"/>
      <c r="K605" s="10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3"/>
      <c r="AM605" s="3"/>
      <c r="AN605" s="10"/>
      <c r="AO605" s="3"/>
      <c r="AP605" s="3"/>
      <c r="AQ605" s="3"/>
      <c r="AR605" s="3"/>
      <c r="AS605" s="3"/>
      <c r="AT605" s="3"/>
      <c r="AU605" s="3"/>
      <c r="AV605" s="3"/>
    </row>
    <row r="606" spans="1:48" ht="15.4" x14ac:dyDescent="0.35">
      <c r="A606" s="9"/>
      <c r="B606" s="3"/>
      <c r="C606" s="10"/>
      <c r="D606" s="10"/>
      <c r="E606" s="10"/>
      <c r="F606" s="10"/>
      <c r="G606" s="3"/>
      <c r="H606" s="9"/>
      <c r="I606" s="9"/>
      <c r="J606" s="9"/>
      <c r="K606" s="10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3"/>
      <c r="AM606" s="3"/>
      <c r="AN606" s="10"/>
      <c r="AO606" s="3"/>
      <c r="AP606" s="3"/>
      <c r="AQ606" s="3"/>
      <c r="AR606" s="3"/>
      <c r="AS606" s="3"/>
      <c r="AT606" s="3"/>
      <c r="AU606" s="3"/>
      <c r="AV606" s="3"/>
    </row>
    <row r="607" spans="1:48" ht="15.4" x14ac:dyDescent="0.35">
      <c r="A607" s="9"/>
      <c r="B607" s="3"/>
      <c r="C607" s="10"/>
      <c r="D607" s="10"/>
      <c r="E607" s="10"/>
      <c r="F607" s="10"/>
      <c r="G607" s="3"/>
      <c r="H607" s="9"/>
      <c r="I607" s="9"/>
      <c r="J607" s="9"/>
      <c r="K607" s="10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3"/>
      <c r="AM607" s="3"/>
      <c r="AN607" s="10"/>
      <c r="AO607" s="3"/>
      <c r="AP607" s="3"/>
      <c r="AQ607" s="3"/>
      <c r="AR607" s="3"/>
      <c r="AS607" s="3"/>
      <c r="AT607" s="3"/>
      <c r="AU607" s="3"/>
      <c r="AV607" s="3"/>
    </row>
    <row r="608" spans="1:48" ht="15.4" x14ac:dyDescent="0.35">
      <c r="A608" s="9"/>
      <c r="B608" s="3"/>
      <c r="C608" s="10"/>
      <c r="D608" s="10"/>
      <c r="E608" s="10"/>
      <c r="F608" s="10"/>
      <c r="G608" s="3"/>
      <c r="H608" s="9"/>
      <c r="I608" s="9"/>
      <c r="J608" s="9"/>
      <c r="K608" s="10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3"/>
      <c r="AM608" s="3"/>
      <c r="AN608" s="10"/>
      <c r="AO608" s="3"/>
      <c r="AP608" s="3"/>
      <c r="AQ608" s="3"/>
      <c r="AR608" s="3"/>
      <c r="AS608" s="3"/>
      <c r="AT608" s="3"/>
      <c r="AU608" s="3"/>
      <c r="AV608" s="3"/>
    </row>
    <row r="609" spans="1:48" ht="15.4" x14ac:dyDescent="0.35">
      <c r="A609" s="9"/>
      <c r="B609" s="3"/>
      <c r="C609" s="10"/>
      <c r="D609" s="10"/>
      <c r="E609" s="10"/>
      <c r="F609" s="10"/>
      <c r="G609" s="3"/>
      <c r="H609" s="9"/>
      <c r="I609" s="9"/>
      <c r="J609" s="9"/>
      <c r="K609" s="10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3"/>
      <c r="AM609" s="3"/>
      <c r="AN609" s="10"/>
      <c r="AO609" s="3"/>
      <c r="AP609" s="3"/>
      <c r="AQ609" s="3"/>
      <c r="AR609" s="3"/>
      <c r="AS609" s="3"/>
      <c r="AT609" s="3"/>
      <c r="AU609" s="3"/>
      <c r="AV609" s="3"/>
    </row>
    <row r="610" spans="1:48" ht="15.4" x14ac:dyDescent="0.35">
      <c r="A610" s="9"/>
      <c r="B610" s="3"/>
      <c r="C610" s="10"/>
      <c r="D610" s="10"/>
      <c r="E610" s="10"/>
      <c r="F610" s="10"/>
      <c r="G610" s="3"/>
      <c r="H610" s="9"/>
      <c r="I610" s="9"/>
      <c r="J610" s="9"/>
      <c r="K610" s="10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3"/>
      <c r="AM610" s="3"/>
      <c r="AN610" s="10"/>
      <c r="AO610" s="3"/>
      <c r="AP610" s="3"/>
      <c r="AQ610" s="3"/>
      <c r="AR610" s="3"/>
      <c r="AS610" s="3"/>
      <c r="AT610" s="3"/>
      <c r="AU610" s="3"/>
      <c r="AV610" s="3"/>
    </row>
    <row r="611" spans="1:48" ht="15.4" x14ac:dyDescent="0.35">
      <c r="A611" s="9"/>
      <c r="B611" s="3"/>
      <c r="C611" s="10"/>
      <c r="D611" s="10"/>
      <c r="E611" s="10"/>
      <c r="F611" s="10"/>
      <c r="G611" s="3"/>
      <c r="H611" s="9"/>
      <c r="I611" s="9"/>
      <c r="J611" s="9"/>
      <c r="K611" s="10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3"/>
      <c r="AM611" s="3"/>
      <c r="AN611" s="10"/>
      <c r="AO611" s="3"/>
      <c r="AP611" s="3"/>
      <c r="AQ611" s="3"/>
      <c r="AR611" s="3"/>
      <c r="AS611" s="3"/>
      <c r="AT611" s="3"/>
      <c r="AU611" s="3"/>
      <c r="AV611" s="3"/>
    </row>
    <row r="612" spans="1:48" ht="15.4" x14ac:dyDescent="0.35">
      <c r="A612" s="9"/>
      <c r="B612" s="3"/>
      <c r="C612" s="10"/>
      <c r="D612" s="10"/>
      <c r="E612" s="10"/>
      <c r="F612" s="10"/>
      <c r="G612" s="3"/>
      <c r="H612" s="9"/>
      <c r="I612" s="9"/>
      <c r="J612" s="9"/>
      <c r="K612" s="10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3"/>
      <c r="AM612" s="3"/>
      <c r="AN612" s="10"/>
      <c r="AO612" s="3"/>
      <c r="AP612" s="3"/>
      <c r="AQ612" s="3"/>
      <c r="AR612" s="3"/>
      <c r="AS612" s="3"/>
      <c r="AT612" s="3"/>
      <c r="AU612" s="3"/>
      <c r="AV612" s="3"/>
    </row>
    <row r="613" spans="1:48" ht="15.4" x14ac:dyDescent="0.35">
      <c r="A613" s="9"/>
      <c r="B613" s="3"/>
      <c r="C613" s="10"/>
      <c r="D613" s="10"/>
      <c r="E613" s="10"/>
      <c r="F613" s="10"/>
      <c r="G613" s="3"/>
      <c r="H613" s="9"/>
      <c r="I613" s="9"/>
      <c r="J613" s="9"/>
      <c r="K613" s="10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3"/>
      <c r="AM613" s="3"/>
      <c r="AN613" s="10"/>
      <c r="AO613" s="3"/>
      <c r="AP613" s="3"/>
      <c r="AQ613" s="3"/>
      <c r="AR613" s="3"/>
      <c r="AS613" s="3"/>
      <c r="AT613" s="3"/>
      <c r="AU613" s="3"/>
      <c r="AV613" s="3"/>
    </row>
    <row r="614" spans="1:48" ht="15.4" x14ac:dyDescent="0.35">
      <c r="A614" s="9"/>
      <c r="B614" s="3"/>
      <c r="C614" s="10"/>
      <c r="D614" s="10"/>
      <c r="E614" s="10"/>
      <c r="F614" s="10"/>
      <c r="G614" s="3"/>
      <c r="H614" s="9"/>
      <c r="I614" s="9"/>
      <c r="J614" s="9"/>
      <c r="K614" s="10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3"/>
      <c r="AM614" s="3"/>
      <c r="AN614" s="10"/>
      <c r="AO614" s="3"/>
      <c r="AP614" s="3"/>
      <c r="AQ614" s="3"/>
      <c r="AR614" s="3"/>
      <c r="AS614" s="3"/>
      <c r="AT614" s="3"/>
      <c r="AU614" s="3"/>
      <c r="AV614" s="3"/>
    </row>
    <row r="615" spans="1:48" ht="15.4" x14ac:dyDescent="0.35">
      <c r="A615" s="9"/>
      <c r="B615" s="3"/>
      <c r="C615" s="10"/>
      <c r="D615" s="10"/>
      <c r="E615" s="10"/>
      <c r="F615" s="10"/>
      <c r="G615" s="3"/>
      <c r="H615" s="9"/>
      <c r="I615" s="9"/>
      <c r="J615" s="9"/>
      <c r="K615" s="10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3"/>
      <c r="AM615" s="3"/>
      <c r="AN615" s="10"/>
      <c r="AO615" s="3"/>
      <c r="AP615" s="3"/>
      <c r="AQ615" s="3"/>
      <c r="AR615" s="3"/>
      <c r="AS615" s="3"/>
      <c r="AT615" s="3"/>
      <c r="AU615" s="3"/>
      <c r="AV615" s="3"/>
    </row>
    <row r="616" spans="1:48" ht="15.4" x14ac:dyDescent="0.35">
      <c r="A616" s="9"/>
      <c r="B616" s="3"/>
      <c r="C616" s="10"/>
      <c r="D616" s="10"/>
      <c r="E616" s="10"/>
      <c r="F616" s="10"/>
      <c r="G616" s="3"/>
      <c r="H616" s="9"/>
      <c r="I616" s="9"/>
      <c r="J616" s="9"/>
      <c r="K616" s="10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3"/>
      <c r="AM616" s="3"/>
      <c r="AN616" s="10"/>
      <c r="AO616" s="3"/>
      <c r="AP616" s="3"/>
      <c r="AQ616" s="3"/>
      <c r="AR616" s="3"/>
      <c r="AS616" s="3"/>
      <c r="AT616" s="3"/>
      <c r="AU616" s="3"/>
      <c r="AV616" s="3"/>
    </row>
    <row r="617" spans="1:48" ht="15.4" x14ac:dyDescent="0.35">
      <c r="A617" s="9"/>
      <c r="B617" s="3"/>
      <c r="C617" s="10"/>
      <c r="D617" s="10"/>
      <c r="E617" s="10"/>
      <c r="F617" s="10"/>
      <c r="G617" s="3"/>
      <c r="H617" s="9"/>
      <c r="I617" s="9"/>
      <c r="J617" s="9"/>
      <c r="K617" s="10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3"/>
      <c r="AM617" s="3"/>
      <c r="AN617" s="10"/>
      <c r="AO617" s="3"/>
      <c r="AP617" s="3"/>
      <c r="AQ617" s="3"/>
      <c r="AR617" s="3"/>
      <c r="AS617" s="3"/>
      <c r="AT617" s="3"/>
      <c r="AU617" s="3"/>
      <c r="AV617" s="3"/>
    </row>
    <row r="618" spans="1:48" ht="15.4" x14ac:dyDescent="0.35">
      <c r="A618" s="9"/>
      <c r="B618" s="3"/>
      <c r="C618" s="10"/>
      <c r="D618" s="10"/>
      <c r="E618" s="10"/>
      <c r="F618" s="10"/>
      <c r="G618" s="3"/>
      <c r="H618" s="9"/>
      <c r="I618" s="9"/>
      <c r="J618" s="9"/>
      <c r="K618" s="10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3"/>
      <c r="AM618" s="3"/>
      <c r="AN618" s="10"/>
      <c r="AO618" s="3"/>
      <c r="AP618" s="3"/>
      <c r="AQ618" s="3"/>
      <c r="AR618" s="3"/>
      <c r="AS618" s="3"/>
      <c r="AT618" s="3"/>
      <c r="AU618" s="3"/>
      <c r="AV618" s="3"/>
    </row>
    <row r="619" spans="1:48" ht="15.4" x14ac:dyDescent="0.35">
      <c r="A619" s="9"/>
      <c r="B619" s="3"/>
      <c r="C619" s="10"/>
      <c r="D619" s="10"/>
      <c r="E619" s="10"/>
      <c r="F619" s="10"/>
      <c r="G619" s="3"/>
      <c r="H619" s="9"/>
      <c r="I619" s="9"/>
      <c r="J619" s="9"/>
      <c r="K619" s="10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3"/>
      <c r="AM619" s="3"/>
      <c r="AN619" s="10"/>
      <c r="AO619" s="3"/>
      <c r="AP619" s="3"/>
      <c r="AQ619" s="3"/>
      <c r="AR619" s="3"/>
      <c r="AS619" s="3"/>
      <c r="AT619" s="3"/>
      <c r="AU619" s="3"/>
      <c r="AV619" s="3"/>
    </row>
    <row r="620" spans="1:48" ht="15.4" x14ac:dyDescent="0.35">
      <c r="A620" s="9"/>
      <c r="B620" s="3"/>
      <c r="C620" s="10"/>
      <c r="D620" s="10"/>
      <c r="E620" s="10"/>
      <c r="F620" s="10"/>
      <c r="G620" s="3"/>
      <c r="H620" s="9"/>
      <c r="I620" s="9"/>
      <c r="J620" s="9"/>
      <c r="K620" s="10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3"/>
      <c r="AM620" s="3"/>
      <c r="AN620" s="10"/>
      <c r="AO620" s="3"/>
      <c r="AP620" s="3"/>
      <c r="AQ620" s="3"/>
      <c r="AR620" s="3"/>
      <c r="AS620" s="3"/>
      <c r="AT620" s="3"/>
      <c r="AU620" s="3"/>
      <c r="AV620" s="3"/>
    </row>
    <row r="621" spans="1:48" ht="15.4" x14ac:dyDescent="0.35">
      <c r="A621" s="9"/>
      <c r="B621" s="3"/>
      <c r="C621" s="10"/>
      <c r="D621" s="10"/>
      <c r="E621" s="10"/>
      <c r="F621" s="10"/>
      <c r="G621" s="3"/>
      <c r="H621" s="9"/>
      <c r="I621" s="9"/>
      <c r="J621" s="9"/>
      <c r="K621" s="10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3"/>
      <c r="AM621" s="3"/>
      <c r="AN621" s="10"/>
      <c r="AO621" s="3"/>
      <c r="AP621" s="3"/>
      <c r="AQ621" s="3"/>
      <c r="AR621" s="3"/>
      <c r="AS621" s="3"/>
      <c r="AT621" s="3"/>
      <c r="AU621" s="3"/>
      <c r="AV621" s="3"/>
    </row>
    <row r="622" spans="1:48" ht="15.4" x14ac:dyDescent="0.35">
      <c r="A622" s="9"/>
      <c r="B622" s="3"/>
      <c r="C622" s="10"/>
      <c r="D622" s="10"/>
      <c r="E622" s="10"/>
      <c r="F622" s="10"/>
      <c r="G622" s="3"/>
      <c r="H622" s="9"/>
      <c r="I622" s="9"/>
      <c r="J622" s="9"/>
      <c r="K622" s="10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3"/>
      <c r="AM622" s="3"/>
      <c r="AN622" s="10"/>
      <c r="AO622" s="3"/>
      <c r="AP622" s="3"/>
      <c r="AQ622" s="3"/>
      <c r="AR622" s="3"/>
      <c r="AS622" s="3"/>
      <c r="AT622" s="3"/>
      <c r="AU622" s="3"/>
      <c r="AV622" s="3"/>
    </row>
    <row r="623" spans="1:48" ht="15.4" x14ac:dyDescent="0.35">
      <c r="A623" s="9"/>
      <c r="B623" s="3"/>
      <c r="C623" s="10"/>
      <c r="D623" s="10"/>
      <c r="E623" s="10"/>
      <c r="F623" s="10"/>
      <c r="G623" s="3"/>
      <c r="H623" s="9"/>
      <c r="I623" s="9"/>
      <c r="J623" s="9"/>
      <c r="K623" s="10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3"/>
      <c r="AM623" s="3"/>
      <c r="AN623" s="10"/>
      <c r="AO623" s="3"/>
      <c r="AP623" s="3"/>
      <c r="AQ623" s="3"/>
      <c r="AR623" s="3"/>
      <c r="AS623" s="3"/>
      <c r="AT623" s="3"/>
      <c r="AU623" s="3"/>
      <c r="AV623" s="3"/>
    </row>
    <row r="624" spans="1:48" ht="15.4" x14ac:dyDescent="0.35">
      <c r="A624" s="9"/>
      <c r="B624" s="3"/>
      <c r="C624" s="10"/>
      <c r="D624" s="10"/>
      <c r="E624" s="10"/>
      <c r="F624" s="10"/>
      <c r="G624" s="3"/>
      <c r="H624" s="9"/>
      <c r="I624" s="9"/>
      <c r="J624" s="9"/>
      <c r="K624" s="10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3"/>
      <c r="AM624" s="3"/>
      <c r="AN624" s="10"/>
      <c r="AO624" s="3"/>
      <c r="AP624" s="3"/>
      <c r="AQ624" s="3"/>
      <c r="AR624" s="3"/>
      <c r="AS624" s="3"/>
      <c r="AT624" s="3"/>
      <c r="AU624" s="3"/>
      <c r="AV624" s="3"/>
    </row>
    <row r="625" spans="1:48" ht="15.4" x14ac:dyDescent="0.35">
      <c r="A625" s="9"/>
      <c r="B625" s="3"/>
      <c r="C625" s="10"/>
      <c r="D625" s="10"/>
      <c r="E625" s="10"/>
      <c r="F625" s="10"/>
      <c r="G625" s="3"/>
      <c r="H625" s="9"/>
      <c r="I625" s="9"/>
      <c r="J625" s="9"/>
      <c r="K625" s="10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3"/>
      <c r="AM625" s="3"/>
      <c r="AN625" s="10"/>
      <c r="AO625" s="3"/>
      <c r="AP625" s="3"/>
      <c r="AQ625" s="3"/>
      <c r="AR625" s="3"/>
      <c r="AS625" s="3"/>
      <c r="AT625" s="3"/>
      <c r="AU625" s="3"/>
      <c r="AV625" s="3"/>
    </row>
    <row r="626" spans="1:48" ht="15.4" x14ac:dyDescent="0.35">
      <c r="A626" s="9"/>
      <c r="B626" s="3"/>
      <c r="C626" s="10"/>
      <c r="D626" s="10"/>
      <c r="E626" s="10"/>
      <c r="F626" s="10"/>
      <c r="G626" s="3"/>
      <c r="H626" s="9"/>
      <c r="I626" s="9"/>
      <c r="J626" s="9"/>
      <c r="K626" s="10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3"/>
      <c r="AM626" s="3"/>
      <c r="AN626" s="10"/>
      <c r="AO626" s="3"/>
      <c r="AP626" s="3"/>
      <c r="AQ626" s="3"/>
      <c r="AR626" s="3"/>
      <c r="AS626" s="3"/>
      <c r="AT626" s="3"/>
      <c r="AU626" s="3"/>
      <c r="AV626" s="3"/>
    </row>
    <row r="627" spans="1:48" ht="15.4" x14ac:dyDescent="0.35">
      <c r="A627" s="9"/>
      <c r="B627" s="3"/>
      <c r="C627" s="10"/>
      <c r="D627" s="10"/>
      <c r="E627" s="10"/>
      <c r="F627" s="10"/>
      <c r="G627" s="3"/>
      <c r="H627" s="9"/>
      <c r="I627" s="9"/>
      <c r="J627" s="9"/>
      <c r="K627" s="10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3"/>
      <c r="AM627" s="3"/>
      <c r="AN627" s="10"/>
      <c r="AO627" s="3"/>
      <c r="AP627" s="3"/>
      <c r="AQ627" s="3"/>
      <c r="AR627" s="3"/>
      <c r="AS627" s="3"/>
      <c r="AT627" s="3"/>
      <c r="AU627" s="3"/>
      <c r="AV627" s="3"/>
    </row>
    <row r="628" spans="1:48" ht="15.4" x14ac:dyDescent="0.35">
      <c r="A628" s="9"/>
      <c r="B628" s="3"/>
      <c r="C628" s="10"/>
      <c r="D628" s="10"/>
      <c r="E628" s="10"/>
      <c r="F628" s="10"/>
      <c r="G628" s="3"/>
      <c r="H628" s="9"/>
      <c r="I628" s="9"/>
      <c r="J628" s="9"/>
      <c r="K628" s="10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3"/>
      <c r="AM628" s="3"/>
      <c r="AN628" s="10"/>
      <c r="AO628" s="3"/>
      <c r="AP628" s="3"/>
      <c r="AQ628" s="3"/>
      <c r="AR628" s="3"/>
      <c r="AS628" s="3"/>
      <c r="AT628" s="3"/>
      <c r="AU628" s="3"/>
      <c r="AV628" s="3"/>
    </row>
    <row r="629" spans="1:48" ht="15.4" x14ac:dyDescent="0.35">
      <c r="A629" s="9"/>
      <c r="B629" s="3"/>
      <c r="C629" s="10"/>
      <c r="D629" s="10"/>
      <c r="E629" s="10"/>
      <c r="F629" s="10"/>
      <c r="G629" s="3"/>
      <c r="H629" s="9"/>
      <c r="I629" s="9"/>
      <c r="J629" s="9"/>
      <c r="K629" s="10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3"/>
      <c r="AM629" s="3"/>
      <c r="AN629" s="10"/>
      <c r="AO629" s="3"/>
      <c r="AP629" s="3"/>
      <c r="AQ629" s="3"/>
      <c r="AR629" s="3"/>
      <c r="AS629" s="3"/>
      <c r="AT629" s="3"/>
      <c r="AU629" s="3"/>
      <c r="AV629" s="3"/>
    </row>
    <row r="630" spans="1:48" ht="15.4" x14ac:dyDescent="0.35">
      <c r="A630" s="9"/>
      <c r="B630" s="3"/>
      <c r="C630" s="10"/>
      <c r="D630" s="10"/>
      <c r="E630" s="10"/>
      <c r="F630" s="10"/>
      <c r="G630" s="3"/>
      <c r="H630" s="9"/>
      <c r="I630" s="9"/>
      <c r="J630" s="9"/>
      <c r="K630" s="10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3"/>
      <c r="AM630" s="3"/>
      <c r="AN630" s="10"/>
      <c r="AO630" s="3"/>
      <c r="AP630" s="3"/>
      <c r="AQ630" s="3"/>
      <c r="AR630" s="3"/>
      <c r="AS630" s="3"/>
      <c r="AT630" s="3"/>
      <c r="AU630" s="3"/>
      <c r="AV630" s="3"/>
    </row>
    <row r="631" spans="1:48" ht="15.4" x14ac:dyDescent="0.35">
      <c r="A631" s="9"/>
      <c r="B631" s="3"/>
      <c r="C631" s="10"/>
      <c r="D631" s="10"/>
      <c r="E631" s="10"/>
      <c r="F631" s="10"/>
      <c r="G631" s="3"/>
      <c r="H631" s="9"/>
      <c r="I631" s="9"/>
      <c r="J631" s="9"/>
      <c r="K631" s="10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3"/>
      <c r="AM631" s="3"/>
      <c r="AN631" s="10"/>
      <c r="AO631" s="3"/>
      <c r="AP631" s="3"/>
      <c r="AQ631" s="3"/>
      <c r="AR631" s="3"/>
      <c r="AS631" s="3"/>
      <c r="AT631" s="3"/>
      <c r="AU631" s="3"/>
      <c r="AV631" s="3"/>
    </row>
    <row r="632" spans="1:48" ht="15.4" x14ac:dyDescent="0.35">
      <c r="A632" s="9"/>
      <c r="B632" s="3"/>
      <c r="C632" s="10"/>
      <c r="D632" s="10"/>
      <c r="E632" s="10"/>
      <c r="F632" s="10"/>
      <c r="G632" s="3"/>
      <c r="H632" s="9"/>
      <c r="I632" s="9"/>
      <c r="J632" s="9"/>
      <c r="K632" s="10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3"/>
      <c r="AM632" s="3"/>
      <c r="AN632" s="10"/>
      <c r="AO632" s="3"/>
      <c r="AP632" s="3"/>
      <c r="AQ632" s="3"/>
      <c r="AR632" s="3"/>
      <c r="AS632" s="3"/>
      <c r="AT632" s="3"/>
      <c r="AU632" s="3"/>
      <c r="AV632" s="3"/>
    </row>
    <row r="633" spans="1:48" ht="15.4" x14ac:dyDescent="0.35">
      <c r="A633" s="9"/>
      <c r="B633" s="3"/>
      <c r="C633" s="10"/>
      <c r="D633" s="10"/>
      <c r="E633" s="10"/>
      <c r="F633" s="10"/>
      <c r="G633" s="3"/>
      <c r="H633" s="9"/>
      <c r="I633" s="9"/>
      <c r="J633" s="9"/>
      <c r="K633" s="10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3"/>
      <c r="AM633" s="3"/>
      <c r="AN633" s="10"/>
      <c r="AO633" s="3"/>
      <c r="AP633" s="3"/>
      <c r="AQ633" s="3"/>
      <c r="AR633" s="3"/>
      <c r="AS633" s="3"/>
      <c r="AT633" s="3"/>
      <c r="AU633" s="3"/>
      <c r="AV633" s="3"/>
    </row>
    <row r="634" spans="1:48" ht="15.4" x14ac:dyDescent="0.35">
      <c r="A634" s="9"/>
      <c r="B634" s="3"/>
      <c r="C634" s="10"/>
      <c r="D634" s="10"/>
      <c r="E634" s="10"/>
      <c r="F634" s="10"/>
      <c r="G634" s="3"/>
      <c r="H634" s="9"/>
      <c r="I634" s="9"/>
      <c r="J634" s="9"/>
      <c r="K634" s="10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3"/>
      <c r="AM634" s="3"/>
      <c r="AN634" s="10"/>
      <c r="AO634" s="3"/>
      <c r="AP634" s="3"/>
      <c r="AQ634" s="3"/>
      <c r="AR634" s="3"/>
      <c r="AS634" s="3"/>
      <c r="AT634" s="3"/>
      <c r="AU634" s="3"/>
      <c r="AV634" s="3"/>
    </row>
    <row r="635" spans="1:48" ht="15.4" x14ac:dyDescent="0.35">
      <c r="A635" s="9"/>
      <c r="B635" s="3"/>
      <c r="C635" s="10"/>
      <c r="D635" s="10"/>
      <c r="E635" s="10"/>
      <c r="F635" s="10"/>
      <c r="G635" s="3"/>
      <c r="H635" s="9"/>
      <c r="I635" s="9"/>
      <c r="J635" s="9"/>
      <c r="K635" s="10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3"/>
      <c r="AM635" s="3"/>
      <c r="AN635" s="10"/>
      <c r="AO635" s="3"/>
      <c r="AP635" s="3"/>
      <c r="AQ635" s="3"/>
      <c r="AR635" s="3"/>
      <c r="AS635" s="3"/>
      <c r="AT635" s="3"/>
      <c r="AU635" s="3"/>
      <c r="AV635" s="3"/>
    </row>
    <row r="636" spans="1:48" ht="15.4" x14ac:dyDescent="0.35">
      <c r="A636" s="9"/>
      <c r="B636" s="3"/>
      <c r="C636" s="10"/>
      <c r="D636" s="10"/>
      <c r="E636" s="10"/>
      <c r="F636" s="10"/>
      <c r="G636" s="3"/>
      <c r="H636" s="9"/>
      <c r="I636" s="9"/>
      <c r="J636" s="9"/>
      <c r="K636" s="10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3"/>
      <c r="AM636" s="3"/>
      <c r="AN636" s="10"/>
      <c r="AO636" s="3"/>
      <c r="AP636" s="3"/>
      <c r="AQ636" s="3"/>
      <c r="AR636" s="3"/>
      <c r="AS636" s="3"/>
      <c r="AT636" s="3"/>
      <c r="AU636" s="3"/>
      <c r="AV636" s="3"/>
    </row>
    <row r="637" spans="1:48" ht="15.4" x14ac:dyDescent="0.35">
      <c r="A637" s="9"/>
      <c r="B637" s="3"/>
      <c r="C637" s="10"/>
      <c r="D637" s="10"/>
      <c r="E637" s="10"/>
      <c r="F637" s="10"/>
      <c r="G637" s="3"/>
      <c r="H637" s="9"/>
      <c r="I637" s="9"/>
      <c r="J637" s="9"/>
      <c r="K637" s="10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3"/>
      <c r="AM637" s="3"/>
      <c r="AN637" s="10"/>
      <c r="AO637" s="3"/>
      <c r="AP637" s="3"/>
      <c r="AQ637" s="3"/>
      <c r="AR637" s="3"/>
      <c r="AS637" s="3"/>
      <c r="AT637" s="3"/>
      <c r="AU637" s="3"/>
      <c r="AV637" s="3"/>
    </row>
    <row r="638" spans="1:48" ht="15.4" x14ac:dyDescent="0.35">
      <c r="A638" s="9"/>
      <c r="B638" s="3"/>
      <c r="C638" s="10"/>
      <c r="D638" s="10"/>
      <c r="E638" s="10"/>
      <c r="F638" s="10"/>
      <c r="G638" s="3"/>
      <c r="H638" s="9"/>
      <c r="I638" s="9"/>
      <c r="J638" s="9"/>
      <c r="K638" s="10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3"/>
      <c r="AM638" s="3"/>
      <c r="AN638" s="10"/>
      <c r="AO638" s="3"/>
      <c r="AP638" s="3"/>
      <c r="AQ638" s="3"/>
      <c r="AR638" s="3"/>
      <c r="AS638" s="3"/>
      <c r="AT638" s="3"/>
      <c r="AU638" s="3"/>
      <c r="AV638" s="3"/>
    </row>
    <row r="639" spans="1:48" ht="15.4" x14ac:dyDescent="0.35">
      <c r="A639" s="9"/>
      <c r="B639" s="3"/>
      <c r="C639" s="10"/>
      <c r="D639" s="10"/>
      <c r="E639" s="10"/>
      <c r="F639" s="10"/>
      <c r="G639" s="3"/>
      <c r="H639" s="9"/>
      <c r="I639" s="9"/>
      <c r="J639" s="9"/>
      <c r="K639" s="10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3"/>
      <c r="AM639" s="3"/>
      <c r="AN639" s="10"/>
      <c r="AO639" s="3"/>
      <c r="AP639" s="3"/>
      <c r="AQ639" s="3"/>
      <c r="AR639" s="3"/>
      <c r="AS639" s="3"/>
      <c r="AT639" s="3"/>
      <c r="AU639" s="3"/>
      <c r="AV639" s="3"/>
    </row>
    <row r="640" spans="1:48" ht="15.4" x14ac:dyDescent="0.35">
      <c r="A640" s="9"/>
      <c r="B640" s="3"/>
      <c r="C640" s="10"/>
      <c r="D640" s="10"/>
      <c r="E640" s="10"/>
      <c r="F640" s="10"/>
      <c r="G640" s="3"/>
      <c r="H640" s="9"/>
      <c r="I640" s="9"/>
      <c r="J640" s="9"/>
      <c r="K640" s="10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3"/>
      <c r="AM640" s="3"/>
      <c r="AN640" s="10"/>
      <c r="AO640" s="3"/>
      <c r="AP640" s="3"/>
      <c r="AQ640" s="3"/>
      <c r="AR640" s="3"/>
      <c r="AS640" s="3"/>
      <c r="AT640" s="3"/>
      <c r="AU640" s="3"/>
      <c r="AV640" s="3"/>
    </row>
    <row r="641" spans="1:48" ht="15.4" x14ac:dyDescent="0.35">
      <c r="A641" s="9"/>
      <c r="B641" s="3"/>
      <c r="C641" s="10"/>
      <c r="D641" s="10"/>
      <c r="E641" s="10"/>
      <c r="F641" s="10"/>
      <c r="G641" s="3"/>
      <c r="H641" s="9"/>
      <c r="I641" s="9"/>
      <c r="J641" s="9"/>
      <c r="K641" s="10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3"/>
      <c r="AM641" s="3"/>
      <c r="AN641" s="10"/>
      <c r="AO641" s="3"/>
      <c r="AP641" s="3"/>
      <c r="AQ641" s="3"/>
      <c r="AR641" s="3"/>
      <c r="AS641" s="3"/>
      <c r="AT641" s="3"/>
      <c r="AU641" s="3"/>
      <c r="AV641" s="3"/>
    </row>
    <row r="642" spans="1:48" ht="15.4" x14ac:dyDescent="0.35">
      <c r="A642" s="9"/>
      <c r="B642" s="3"/>
      <c r="C642" s="10"/>
      <c r="D642" s="10"/>
      <c r="E642" s="10"/>
      <c r="F642" s="10"/>
      <c r="G642" s="3"/>
      <c r="H642" s="9"/>
      <c r="I642" s="9"/>
      <c r="J642" s="9"/>
      <c r="K642" s="10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3"/>
      <c r="AM642" s="3"/>
      <c r="AN642" s="10"/>
      <c r="AO642" s="3"/>
      <c r="AP642" s="3"/>
      <c r="AQ642" s="3"/>
      <c r="AR642" s="3"/>
      <c r="AS642" s="3"/>
      <c r="AT642" s="3"/>
      <c r="AU642" s="3"/>
      <c r="AV642" s="3"/>
    </row>
    <row r="643" spans="1:48" ht="15.4" x14ac:dyDescent="0.35">
      <c r="A643" s="9"/>
      <c r="B643" s="3"/>
      <c r="C643" s="10"/>
      <c r="D643" s="10"/>
      <c r="E643" s="10"/>
      <c r="F643" s="10"/>
      <c r="G643" s="3"/>
      <c r="H643" s="9"/>
      <c r="I643" s="9"/>
      <c r="J643" s="9"/>
      <c r="K643" s="10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3"/>
      <c r="AM643" s="3"/>
      <c r="AN643" s="10"/>
      <c r="AO643" s="3"/>
      <c r="AP643" s="3"/>
      <c r="AQ643" s="3"/>
      <c r="AR643" s="3"/>
      <c r="AS643" s="3"/>
      <c r="AT643" s="3"/>
      <c r="AU643" s="3"/>
      <c r="AV643" s="3"/>
    </row>
    <row r="644" spans="1:48" ht="15.4" x14ac:dyDescent="0.35">
      <c r="A644" s="9"/>
      <c r="B644" s="3"/>
      <c r="C644" s="10"/>
      <c r="D644" s="10"/>
      <c r="E644" s="10"/>
      <c r="F644" s="10"/>
      <c r="G644" s="3"/>
      <c r="H644" s="9"/>
      <c r="I644" s="9"/>
      <c r="J644" s="9"/>
      <c r="K644" s="10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3"/>
      <c r="AM644" s="3"/>
      <c r="AN644" s="10"/>
      <c r="AO644" s="3"/>
      <c r="AP644" s="3"/>
      <c r="AQ644" s="3"/>
      <c r="AR644" s="3"/>
      <c r="AS644" s="3"/>
      <c r="AT644" s="3"/>
      <c r="AU644" s="3"/>
      <c r="AV644" s="3"/>
    </row>
    <row r="645" spans="1:48" ht="15.4" x14ac:dyDescent="0.35">
      <c r="A645" s="9"/>
      <c r="B645" s="3"/>
      <c r="C645" s="10"/>
      <c r="D645" s="10"/>
      <c r="E645" s="10"/>
      <c r="F645" s="10"/>
      <c r="G645" s="3"/>
      <c r="H645" s="9"/>
      <c r="I645" s="9"/>
      <c r="J645" s="9"/>
      <c r="K645" s="10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3"/>
      <c r="AM645" s="3"/>
      <c r="AN645" s="10"/>
      <c r="AO645" s="3"/>
      <c r="AP645" s="3"/>
      <c r="AQ645" s="3"/>
      <c r="AR645" s="3"/>
      <c r="AS645" s="3"/>
      <c r="AT645" s="3"/>
      <c r="AU645" s="3"/>
      <c r="AV645" s="3"/>
    </row>
    <row r="646" spans="1:48" ht="15.4" x14ac:dyDescent="0.35">
      <c r="A646" s="9"/>
      <c r="B646" s="3"/>
      <c r="C646" s="10"/>
      <c r="D646" s="10"/>
      <c r="E646" s="10"/>
      <c r="F646" s="10"/>
      <c r="G646" s="3"/>
      <c r="H646" s="9"/>
      <c r="I646" s="9"/>
      <c r="J646" s="9"/>
      <c r="K646" s="10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3"/>
      <c r="AM646" s="3"/>
      <c r="AN646" s="10"/>
      <c r="AO646" s="3"/>
      <c r="AP646" s="3"/>
      <c r="AQ646" s="3"/>
      <c r="AR646" s="3"/>
      <c r="AS646" s="3"/>
      <c r="AT646" s="3"/>
      <c r="AU646" s="3"/>
      <c r="AV646" s="3"/>
    </row>
    <row r="647" spans="1:48" ht="15.4" x14ac:dyDescent="0.35">
      <c r="A647" s="9"/>
      <c r="B647" s="3"/>
      <c r="C647" s="10"/>
      <c r="D647" s="10"/>
      <c r="E647" s="10"/>
      <c r="F647" s="10"/>
      <c r="G647" s="3"/>
      <c r="H647" s="9"/>
      <c r="I647" s="9"/>
      <c r="J647" s="9"/>
      <c r="K647" s="10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3"/>
      <c r="AM647" s="3"/>
      <c r="AN647" s="10"/>
      <c r="AO647" s="3"/>
      <c r="AP647" s="3"/>
      <c r="AQ647" s="3"/>
      <c r="AR647" s="3"/>
      <c r="AS647" s="3"/>
      <c r="AT647" s="3"/>
      <c r="AU647" s="3"/>
      <c r="AV647" s="3"/>
    </row>
    <row r="648" spans="1:48" ht="15.4" x14ac:dyDescent="0.35">
      <c r="A648" s="9"/>
      <c r="B648" s="3"/>
      <c r="C648" s="10"/>
      <c r="D648" s="10"/>
      <c r="E648" s="10"/>
      <c r="F648" s="10"/>
      <c r="G648" s="3"/>
      <c r="H648" s="9"/>
      <c r="I648" s="9"/>
      <c r="J648" s="9"/>
      <c r="K648" s="10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3"/>
      <c r="AM648" s="3"/>
      <c r="AN648" s="10"/>
      <c r="AO648" s="3"/>
      <c r="AP648" s="3"/>
      <c r="AQ648" s="3"/>
      <c r="AR648" s="3"/>
      <c r="AS648" s="3"/>
      <c r="AT648" s="3"/>
      <c r="AU648" s="3"/>
      <c r="AV648" s="3"/>
    </row>
    <row r="649" spans="1:48" ht="15.4" x14ac:dyDescent="0.35">
      <c r="A649" s="9"/>
      <c r="B649" s="3"/>
      <c r="C649" s="10"/>
      <c r="D649" s="10"/>
      <c r="E649" s="10"/>
      <c r="F649" s="10"/>
      <c r="G649" s="3"/>
      <c r="H649" s="9"/>
      <c r="I649" s="9"/>
      <c r="J649" s="9"/>
      <c r="K649" s="10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3"/>
      <c r="AM649" s="3"/>
      <c r="AN649" s="10"/>
      <c r="AO649" s="3"/>
      <c r="AP649" s="3"/>
      <c r="AQ649" s="3"/>
      <c r="AR649" s="3"/>
      <c r="AS649" s="3"/>
      <c r="AT649" s="3"/>
      <c r="AU649" s="3"/>
      <c r="AV649" s="3"/>
    </row>
    <row r="650" spans="1:48" ht="15.4" x14ac:dyDescent="0.35">
      <c r="A650" s="9"/>
      <c r="B650" s="3"/>
      <c r="C650" s="10"/>
      <c r="D650" s="10"/>
      <c r="E650" s="10"/>
      <c r="F650" s="10"/>
      <c r="G650" s="3"/>
      <c r="H650" s="9"/>
      <c r="I650" s="9"/>
      <c r="J650" s="9"/>
      <c r="K650" s="10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3"/>
      <c r="AM650" s="3"/>
      <c r="AN650" s="10"/>
      <c r="AO650" s="3"/>
      <c r="AP650" s="3"/>
      <c r="AQ650" s="3"/>
      <c r="AR650" s="3"/>
      <c r="AS650" s="3"/>
      <c r="AT650" s="3"/>
      <c r="AU650" s="3"/>
      <c r="AV650" s="3"/>
    </row>
    <row r="651" spans="1:48" ht="15.4" x14ac:dyDescent="0.35">
      <c r="A651" s="9"/>
      <c r="B651" s="3"/>
      <c r="C651" s="10"/>
      <c r="D651" s="10"/>
      <c r="E651" s="10"/>
      <c r="F651" s="10"/>
      <c r="G651" s="3"/>
      <c r="H651" s="9"/>
      <c r="I651" s="9"/>
      <c r="J651" s="9"/>
      <c r="K651" s="10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3"/>
      <c r="AM651" s="3"/>
      <c r="AN651" s="10"/>
      <c r="AO651" s="3"/>
      <c r="AP651" s="3"/>
      <c r="AQ651" s="3"/>
      <c r="AR651" s="3"/>
      <c r="AS651" s="3"/>
      <c r="AT651" s="3"/>
      <c r="AU651" s="3"/>
      <c r="AV651" s="3"/>
    </row>
    <row r="652" spans="1:48" ht="15.4" x14ac:dyDescent="0.35">
      <c r="A652" s="9"/>
      <c r="B652" s="3"/>
      <c r="C652" s="10"/>
      <c r="D652" s="10"/>
      <c r="E652" s="10"/>
      <c r="F652" s="10"/>
      <c r="G652" s="3"/>
      <c r="H652" s="9"/>
      <c r="I652" s="9"/>
      <c r="J652" s="9"/>
      <c r="K652" s="10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3"/>
      <c r="AM652" s="3"/>
      <c r="AN652" s="10"/>
      <c r="AO652" s="3"/>
      <c r="AP652" s="3"/>
      <c r="AQ652" s="3"/>
      <c r="AR652" s="3"/>
      <c r="AS652" s="3"/>
      <c r="AT652" s="3"/>
      <c r="AU652" s="3"/>
      <c r="AV652" s="3"/>
    </row>
    <row r="653" spans="1:48" ht="15.4" x14ac:dyDescent="0.35">
      <c r="A653" s="9"/>
      <c r="B653" s="3"/>
      <c r="C653" s="10"/>
      <c r="D653" s="10"/>
      <c r="E653" s="10"/>
      <c r="F653" s="10"/>
      <c r="G653" s="3"/>
      <c r="H653" s="9"/>
      <c r="I653" s="9"/>
      <c r="J653" s="9"/>
      <c r="K653" s="10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3"/>
      <c r="AM653" s="3"/>
      <c r="AN653" s="10"/>
      <c r="AO653" s="3"/>
      <c r="AP653" s="3"/>
      <c r="AQ653" s="3"/>
      <c r="AR653" s="3"/>
      <c r="AS653" s="3"/>
      <c r="AT653" s="3"/>
      <c r="AU653" s="3"/>
      <c r="AV653" s="3"/>
    </row>
    <row r="654" spans="1:48" ht="15.4" x14ac:dyDescent="0.35">
      <c r="A654" s="9"/>
      <c r="B654" s="3"/>
      <c r="C654" s="10"/>
      <c r="D654" s="10"/>
      <c r="E654" s="10"/>
      <c r="F654" s="10"/>
      <c r="G654" s="3"/>
      <c r="H654" s="9"/>
      <c r="I654" s="9"/>
      <c r="J654" s="9"/>
      <c r="K654" s="10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3"/>
      <c r="AM654" s="3"/>
      <c r="AN654" s="10"/>
      <c r="AO654" s="3"/>
      <c r="AP654" s="3"/>
      <c r="AQ654" s="3"/>
      <c r="AR654" s="3"/>
      <c r="AS654" s="3"/>
      <c r="AT654" s="3"/>
      <c r="AU654" s="3"/>
      <c r="AV654" s="3"/>
    </row>
    <row r="655" spans="1:48" ht="15.4" x14ac:dyDescent="0.35">
      <c r="A655" s="9"/>
      <c r="B655" s="3"/>
      <c r="C655" s="10"/>
      <c r="D655" s="10"/>
      <c r="E655" s="10"/>
      <c r="F655" s="10"/>
      <c r="G655" s="3"/>
      <c r="H655" s="9"/>
      <c r="I655" s="9"/>
      <c r="J655" s="9"/>
      <c r="K655" s="10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3"/>
      <c r="AM655" s="3"/>
      <c r="AN655" s="10"/>
      <c r="AO655" s="3"/>
      <c r="AP655" s="3"/>
      <c r="AQ655" s="3"/>
      <c r="AR655" s="3"/>
      <c r="AS655" s="3"/>
      <c r="AT655" s="3"/>
      <c r="AU655" s="3"/>
      <c r="AV655" s="3"/>
    </row>
    <row r="656" spans="1:48" ht="15.4" x14ac:dyDescent="0.35">
      <c r="A656" s="9"/>
      <c r="B656" s="3"/>
      <c r="C656" s="10"/>
      <c r="D656" s="10"/>
      <c r="E656" s="10"/>
      <c r="F656" s="10"/>
      <c r="G656" s="3"/>
      <c r="H656" s="9"/>
      <c r="I656" s="9"/>
      <c r="J656" s="9"/>
      <c r="K656" s="10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3"/>
      <c r="AM656" s="3"/>
      <c r="AN656" s="10"/>
      <c r="AO656" s="3"/>
      <c r="AP656" s="3"/>
      <c r="AQ656" s="3"/>
      <c r="AR656" s="3"/>
      <c r="AS656" s="3"/>
      <c r="AT656" s="3"/>
      <c r="AU656" s="3"/>
      <c r="AV656" s="3"/>
    </row>
    <row r="657" spans="1:48" ht="15.4" x14ac:dyDescent="0.35">
      <c r="A657" s="9"/>
      <c r="B657" s="3"/>
      <c r="C657" s="10"/>
      <c r="D657" s="10"/>
      <c r="E657" s="10"/>
      <c r="F657" s="10"/>
      <c r="G657" s="3"/>
      <c r="H657" s="9"/>
      <c r="I657" s="9"/>
      <c r="J657" s="9"/>
      <c r="K657" s="10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3"/>
      <c r="AM657" s="3"/>
      <c r="AN657" s="10"/>
      <c r="AO657" s="3"/>
      <c r="AP657" s="3"/>
      <c r="AQ657" s="3"/>
      <c r="AR657" s="3"/>
      <c r="AS657" s="3"/>
      <c r="AT657" s="3"/>
      <c r="AU657" s="3"/>
      <c r="AV657" s="3"/>
    </row>
    <row r="658" spans="1:48" ht="15.4" x14ac:dyDescent="0.35">
      <c r="A658" s="9"/>
      <c r="B658" s="3"/>
      <c r="C658" s="10"/>
      <c r="D658" s="10"/>
      <c r="E658" s="10"/>
      <c r="F658" s="10"/>
      <c r="G658" s="3"/>
      <c r="H658" s="9"/>
      <c r="I658" s="9"/>
      <c r="J658" s="9"/>
      <c r="K658" s="10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3"/>
      <c r="AM658" s="3"/>
      <c r="AN658" s="10"/>
      <c r="AO658" s="3"/>
      <c r="AP658" s="3"/>
      <c r="AQ658" s="3"/>
      <c r="AR658" s="3"/>
      <c r="AS658" s="3"/>
      <c r="AT658" s="3"/>
      <c r="AU658" s="3"/>
      <c r="AV658" s="3"/>
    </row>
    <row r="659" spans="1:48" ht="15.4" x14ac:dyDescent="0.35">
      <c r="A659" s="9"/>
      <c r="B659" s="3"/>
      <c r="C659" s="10"/>
      <c r="D659" s="10"/>
      <c r="E659" s="10"/>
      <c r="F659" s="10"/>
      <c r="G659" s="3"/>
      <c r="H659" s="9"/>
      <c r="I659" s="9"/>
      <c r="J659" s="9"/>
      <c r="K659" s="10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3"/>
      <c r="AM659" s="3"/>
      <c r="AN659" s="10"/>
      <c r="AO659" s="3"/>
      <c r="AP659" s="3"/>
      <c r="AQ659" s="3"/>
      <c r="AR659" s="3"/>
      <c r="AS659" s="3"/>
      <c r="AT659" s="3"/>
      <c r="AU659" s="3"/>
      <c r="AV659" s="3"/>
    </row>
    <row r="660" spans="1:48" ht="15.4" x14ac:dyDescent="0.35">
      <c r="A660" s="9"/>
      <c r="B660" s="3"/>
      <c r="C660" s="10"/>
      <c r="D660" s="10"/>
      <c r="E660" s="10"/>
      <c r="F660" s="10"/>
      <c r="G660" s="3"/>
      <c r="H660" s="9"/>
      <c r="I660" s="9"/>
      <c r="J660" s="9"/>
      <c r="K660" s="10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3"/>
      <c r="AM660" s="3"/>
      <c r="AN660" s="10"/>
      <c r="AO660" s="3"/>
      <c r="AP660" s="3"/>
      <c r="AQ660" s="3"/>
      <c r="AR660" s="3"/>
      <c r="AS660" s="3"/>
      <c r="AT660" s="3"/>
      <c r="AU660" s="3"/>
      <c r="AV660" s="3"/>
    </row>
    <row r="661" spans="1:48" ht="15.4" x14ac:dyDescent="0.35">
      <c r="A661" s="9"/>
      <c r="B661" s="3"/>
      <c r="C661" s="10"/>
      <c r="D661" s="10"/>
      <c r="E661" s="10"/>
      <c r="F661" s="10"/>
      <c r="G661" s="3"/>
      <c r="H661" s="9"/>
      <c r="I661" s="9"/>
      <c r="J661" s="9"/>
      <c r="K661" s="10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3"/>
      <c r="AM661" s="3"/>
      <c r="AN661" s="10"/>
      <c r="AO661" s="3"/>
      <c r="AP661" s="3"/>
      <c r="AQ661" s="3"/>
      <c r="AR661" s="3"/>
      <c r="AS661" s="3"/>
      <c r="AT661" s="3"/>
      <c r="AU661" s="3"/>
      <c r="AV661" s="3"/>
    </row>
    <row r="662" spans="1:48" ht="15.4" x14ac:dyDescent="0.35">
      <c r="A662" s="9"/>
      <c r="B662" s="3"/>
      <c r="C662" s="10"/>
      <c r="D662" s="10"/>
      <c r="E662" s="10"/>
      <c r="F662" s="10"/>
      <c r="G662" s="3"/>
      <c r="H662" s="9"/>
      <c r="I662" s="9"/>
      <c r="J662" s="9"/>
      <c r="K662" s="10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3"/>
      <c r="AM662" s="3"/>
      <c r="AN662" s="10"/>
      <c r="AO662" s="3"/>
      <c r="AP662" s="3"/>
      <c r="AQ662" s="3"/>
      <c r="AR662" s="3"/>
      <c r="AS662" s="3"/>
      <c r="AT662" s="3"/>
      <c r="AU662" s="3"/>
      <c r="AV662" s="3"/>
    </row>
    <row r="663" spans="1:48" ht="15.4" x14ac:dyDescent="0.35">
      <c r="A663" s="9"/>
      <c r="B663" s="3"/>
      <c r="C663" s="10"/>
      <c r="D663" s="10"/>
      <c r="E663" s="10"/>
      <c r="F663" s="10"/>
      <c r="G663" s="3"/>
      <c r="H663" s="9"/>
      <c r="I663" s="9"/>
      <c r="J663" s="9"/>
      <c r="K663" s="10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3"/>
      <c r="AM663" s="3"/>
      <c r="AN663" s="10"/>
      <c r="AO663" s="3"/>
      <c r="AP663" s="3"/>
      <c r="AQ663" s="3"/>
      <c r="AR663" s="3"/>
      <c r="AS663" s="3"/>
      <c r="AT663" s="3"/>
      <c r="AU663" s="3"/>
      <c r="AV663" s="3"/>
    </row>
    <row r="664" spans="1:48" ht="15.4" x14ac:dyDescent="0.35">
      <c r="A664" s="9"/>
      <c r="B664" s="3"/>
      <c r="C664" s="10"/>
      <c r="D664" s="10"/>
      <c r="E664" s="10"/>
      <c r="F664" s="10"/>
      <c r="G664" s="3"/>
      <c r="H664" s="9"/>
      <c r="I664" s="9"/>
      <c r="J664" s="9"/>
      <c r="K664" s="10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3"/>
      <c r="AM664" s="3"/>
      <c r="AN664" s="10"/>
      <c r="AO664" s="3"/>
      <c r="AP664" s="3"/>
      <c r="AQ664" s="3"/>
      <c r="AR664" s="3"/>
      <c r="AS664" s="3"/>
      <c r="AT664" s="3"/>
      <c r="AU664" s="3"/>
      <c r="AV664" s="3"/>
    </row>
    <row r="665" spans="1:48" ht="15.4" x14ac:dyDescent="0.35">
      <c r="A665" s="9"/>
      <c r="B665" s="3"/>
      <c r="C665" s="10"/>
      <c r="D665" s="10"/>
      <c r="E665" s="10"/>
      <c r="F665" s="10"/>
      <c r="G665" s="3"/>
      <c r="H665" s="9"/>
      <c r="I665" s="9"/>
      <c r="J665" s="9"/>
      <c r="K665" s="10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3"/>
      <c r="AM665" s="3"/>
      <c r="AN665" s="10"/>
      <c r="AO665" s="3"/>
      <c r="AP665" s="3"/>
      <c r="AQ665" s="3"/>
      <c r="AR665" s="3"/>
      <c r="AS665" s="3"/>
      <c r="AT665" s="3"/>
      <c r="AU665" s="3"/>
      <c r="AV665" s="3"/>
    </row>
    <row r="666" spans="1:48" ht="15.4" x14ac:dyDescent="0.35">
      <c r="A666" s="9"/>
      <c r="B666" s="3"/>
      <c r="C666" s="10"/>
      <c r="D666" s="10"/>
      <c r="E666" s="10"/>
      <c r="F666" s="10"/>
      <c r="G666" s="3"/>
      <c r="H666" s="9"/>
      <c r="I666" s="9"/>
      <c r="J666" s="9"/>
      <c r="K666" s="10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3"/>
      <c r="AM666" s="3"/>
      <c r="AN666" s="10"/>
      <c r="AO666" s="3"/>
      <c r="AP666" s="3"/>
      <c r="AQ666" s="3"/>
      <c r="AR666" s="3"/>
      <c r="AS666" s="3"/>
      <c r="AT666" s="3"/>
      <c r="AU666" s="3"/>
      <c r="AV666" s="3"/>
    </row>
    <row r="667" spans="1:48" ht="15.4" x14ac:dyDescent="0.35">
      <c r="A667" s="9"/>
      <c r="B667" s="3"/>
      <c r="C667" s="10"/>
      <c r="D667" s="10"/>
      <c r="E667" s="10"/>
      <c r="F667" s="10"/>
      <c r="G667" s="3"/>
      <c r="H667" s="9"/>
      <c r="I667" s="9"/>
      <c r="J667" s="9"/>
      <c r="K667" s="10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3"/>
      <c r="AM667" s="3"/>
      <c r="AN667" s="10"/>
      <c r="AO667" s="3"/>
      <c r="AP667" s="3"/>
      <c r="AQ667" s="3"/>
      <c r="AR667" s="3"/>
      <c r="AS667" s="3"/>
      <c r="AT667" s="3"/>
      <c r="AU667" s="3"/>
      <c r="AV667" s="3"/>
    </row>
    <row r="668" spans="1:48" ht="15.4" x14ac:dyDescent="0.35">
      <c r="A668" s="9"/>
      <c r="B668" s="3"/>
      <c r="C668" s="10"/>
      <c r="D668" s="10"/>
      <c r="E668" s="10"/>
      <c r="F668" s="10"/>
      <c r="G668" s="3"/>
      <c r="H668" s="9"/>
      <c r="I668" s="9"/>
      <c r="J668" s="9"/>
      <c r="K668" s="10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3"/>
      <c r="AM668" s="3"/>
      <c r="AN668" s="10"/>
      <c r="AO668" s="3"/>
      <c r="AP668" s="3"/>
      <c r="AQ668" s="3"/>
      <c r="AR668" s="3"/>
      <c r="AS668" s="3"/>
      <c r="AT668" s="3"/>
      <c r="AU668" s="3"/>
      <c r="AV668" s="3"/>
    </row>
    <row r="669" spans="1:48" ht="15.4" x14ac:dyDescent="0.35">
      <c r="A669" s="9"/>
      <c r="B669" s="3"/>
      <c r="C669" s="10"/>
      <c r="D669" s="10"/>
      <c r="E669" s="10"/>
      <c r="F669" s="10"/>
      <c r="G669" s="3"/>
      <c r="H669" s="9"/>
      <c r="I669" s="9"/>
      <c r="J669" s="9"/>
      <c r="K669" s="10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3"/>
      <c r="AM669" s="3"/>
      <c r="AN669" s="10"/>
      <c r="AO669" s="3"/>
      <c r="AP669" s="3"/>
      <c r="AQ669" s="3"/>
      <c r="AR669" s="3"/>
      <c r="AS669" s="3"/>
      <c r="AT669" s="3"/>
      <c r="AU669" s="3"/>
      <c r="AV669" s="3"/>
    </row>
    <row r="670" spans="1:48" ht="15.4" x14ac:dyDescent="0.35">
      <c r="A670" s="9"/>
      <c r="B670" s="3"/>
      <c r="C670" s="10"/>
      <c r="D670" s="10"/>
      <c r="E670" s="10"/>
      <c r="F670" s="10"/>
      <c r="G670" s="3"/>
      <c r="H670" s="9"/>
      <c r="I670" s="9"/>
      <c r="J670" s="9"/>
      <c r="K670" s="10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3"/>
      <c r="AM670" s="3"/>
      <c r="AN670" s="10"/>
      <c r="AO670" s="3"/>
      <c r="AP670" s="3"/>
      <c r="AQ670" s="3"/>
      <c r="AR670" s="3"/>
      <c r="AS670" s="3"/>
      <c r="AT670" s="3"/>
      <c r="AU670" s="3"/>
      <c r="AV670" s="3"/>
    </row>
    <row r="671" spans="1:48" ht="15.4" x14ac:dyDescent="0.35">
      <c r="A671" s="9"/>
      <c r="B671" s="3"/>
      <c r="C671" s="10"/>
      <c r="D671" s="10"/>
      <c r="E671" s="10"/>
      <c r="F671" s="10"/>
      <c r="G671" s="3"/>
      <c r="H671" s="9"/>
      <c r="I671" s="9"/>
      <c r="J671" s="9"/>
      <c r="K671" s="10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3"/>
      <c r="AM671" s="3"/>
      <c r="AN671" s="10"/>
      <c r="AO671" s="3"/>
      <c r="AP671" s="3"/>
      <c r="AQ671" s="3"/>
      <c r="AR671" s="3"/>
      <c r="AS671" s="3"/>
      <c r="AT671" s="3"/>
      <c r="AU671" s="3"/>
      <c r="AV671" s="3"/>
    </row>
    <row r="672" spans="1:48" ht="15.4" x14ac:dyDescent="0.35">
      <c r="A672" s="9"/>
      <c r="B672" s="3"/>
      <c r="C672" s="10"/>
      <c r="D672" s="10"/>
      <c r="E672" s="10"/>
      <c r="F672" s="10"/>
      <c r="G672" s="3"/>
      <c r="H672" s="9"/>
      <c r="I672" s="9"/>
      <c r="J672" s="9"/>
      <c r="K672" s="10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3"/>
      <c r="AM672" s="3"/>
      <c r="AN672" s="10"/>
      <c r="AO672" s="3"/>
      <c r="AP672" s="3"/>
      <c r="AQ672" s="3"/>
      <c r="AR672" s="3"/>
      <c r="AS672" s="3"/>
      <c r="AT672" s="3"/>
      <c r="AU672" s="3"/>
      <c r="AV672" s="3"/>
    </row>
    <row r="673" spans="1:48" ht="15.4" x14ac:dyDescent="0.35">
      <c r="A673" s="9"/>
      <c r="B673" s="3"/>
      <c r="C673" s="10"/>
      <c r="D673" s="10"/>
      <c r="E673" s="10"/>
      <c r="F673" s="10"/>
      <c r="G673" s="3"/>
      <c r="H673" s="9"/>
      <c r="I673" s="9"/>
      <c r="J673" s="9"/>
      <c r="K673" s="10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3"/>
      <c r="AM673" s="3"/>
      <c r="AN673" s="10"/>
      <c r="AO673" s="3"/>
      <c r="AP673" s="3"/>
      <c r="AQ673" s="3"/>
      <c r="AR673" s="3"/>
      <c r="AS673" s="3"/>
      <c r="AT673" s="3"/>
      <c r="AU673" s="3"/>
      <c r="AV673" s="3"/>
    </row>
    <row r="674" spans="1:48" ht="15.4" x14ac:dyDescent="0.35">
      <c r="A674" s="9"/>
      <c r="B674" s="3"/>
      <c r="C674" s="10"/>
      <c r="D674" s="10"/>
      <c r="E674" s="10"/>
      <c r="F674" s="10"/>
      <c r="G674" s="3"/>
      <c r="H674" s="9"/>
      <c r="I674" s="9"/>
      <c r="J674" s="9"/>
      <c r="K674" s="10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3"/>
      <c r="AM674" s="3"/>
      <c r="AN674" s="10"/>
      <c r="AO674" s="3"/>
      <c r="AP674" s="3"/>
      <c r="AQ674" s="3"/>
      <c r="AR674" s="3"/>
      <c r="AS674" s="3"/>
      <c r="AT674" s="3"/>
      <c r="AU674" s="3"/>
      <c r="AV674" s="3"/>
    </row>
    <row r="675" spans="1:48" ht="15.4" x14ac:dyDescent="0.35">
      <c r="A675" s="9"/>
      <c r="B675" s="3"/>
      <c r="C675" s="10"/>
      <c r="D675" s="10"/>
      <c r="E675" s="10"/>
      <c r="F675" s="10"/>
      <c r="G675" s="3"/>
      <c r="H675" s="9"/>
      <c r="I675" s="9"/>
      <c r="J675" s="9"/>
      <c r="K675" s="10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3"/>
      <c r="AM675" s="3"/>
      <c r="AN675" s="10"/>
      <c r="AO675" s="3"/>
      <c r="AP675" s="3"/>
      <c r="AQ675" s="3"/>
      <c r="AR675" s="3"/>
      <c r="AS675" s="3"/>
      <c r="AT675" s="3"/>
      <c r="AU675" s="3"/>
      <c r="AV675" s="3"/>
    </row>
    <row r="676" spans="1:48" ht="15.4" x14ac:dyDescent="0.35">
      <c r="A676" s="9"/>
      <c r="B676" s="3"/>
      <c r="C676" s="10"/>
      <c r="D676" s="10"/>
      <c r="E676" s="10"/>
      <c r="F676" s="10"/>
      <c r="G676" s="3"/>
      <c r="H676" s="9"/>
      <c r="I676" s="9"/>
      <c r="J676" s="9"/>
      <c r="K676" s="10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3"/>
      <c r="AM676" s="3"/>
      <c r="AN676" s="10"/>
      <c r="AO676" s="3"/>
      <c r="AP676" s="3"/>
      <c r="AQ676" s="3"/>
      <c r="AR676" s="3"/>
      <c r="AS676" s="3"/>
      <c r="AT676" s="3"/>
      <c r="AU676" s="3"/>
      <c r="AV676" s="3"/>
    </row>
    <row r="677" spans="1:48" ht="15.4" x14ac:dyDescent="0.35">
      <c r="A677" s="9"/>
      <c r="B677" s="3"/>
      <c r="C677" s="10"/>
      <c r="D677" s="10"/>
      <c r="E677" s="10"/>
      <c r="F677" s="10"/>
      <c r="G677" s="3"/>
      <c r="H677" s="9"/>
      <c r="I677" s="9"/>
      <c r="J677" s="9"/>
      <c r="K677" s="10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3"/>
      <c r="AM677" s="3"/>
      <c r="AN677" s="10"/>
      <c r="AO677" s="3"/>
      <c r="AP677" s="3"/>
      <c r="AQ677" s="3"/>
      <c r="AR677" s="3"/>
      <c r="AS677" s="3"/>
      <c r="AT677" s="3"/>
      <c r="AU677" s="3"/>
      <c r="AV677" s="3"/>
    </row>
    <row r="678" spans="1:48" ht="15.4" x14ac:dyDescent="0.35">
      <c r="A678" s="9"/>
      <c r="B678" s="3"/>
      <c r="C678" s="10"/>
      <c r="D678" s="10"/>
      <c r="E678" s="10"/>
      <c r="F678" s="10"/>
      <c r="G678" s="3"/>
      <c r="H678" s="9"/>
      <c r="I678" s="9"/>
      <c r="J678" s="9"/>
      <c r="K678" s="10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3"/>
      <c r="AM678" s="3"/>
      <c r="AN678" s="10"/>
      <c r="AO678" s="3"/>
      <c r="AP678" s="3"/>
      <c r="AQ678" s="3"/>
      <c r="AR678" s="3"/>
      <c r="AS678" s="3"/>
      <c r="AT678" s="3"/>
      <c r="AU678" s="3"/>
      <c r="AV678" s="3"/>
    </row>
    <row r="679" spans="1:48" ht="15.4" x14ac:dyDescent="0.35">
      <c r="A679" s="9"/>
      <c r="B679" s="3"/>
      <c r="C679" s="10"/>
      <c r="D679" s="10"/>
      <c r="E679" s="10"/>
      <c r="F679" s="10"/>
      <c r="G679" s="3"/>
      <c r="H679" s="9"/>
      <c r="I679" s="9"/>
      <c r="J679" s="9"/>
      <c r="K679" s="10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3"/>
      <c r="AM679" s="3"/>
      <c r="AN679" s="10"/>
      <c r="AO679" s="3"/>
      <c r="AP679" s="3"/>
      <c r="AQ679" s="3"/>
      <c r="AR679" s="3"/>
      <c r="AS679" s="3"/>
      <c r="AT679" s="3"/>
      <c r="AU679" s="3"/>
      <c r="AV679" s="3"/>
    </row>
    <row r="680" spans="1:48" ht="15.4" x14ac:dyDescent="0.35">
      <c r="A680" s="9"/>
      <c r="B680" s="3"/>
      <c r="C680" s="10"/>
      <c r="D680" s="10"/>
      <c r="E680" s="10"/>
      <c r="F680" s="10"/>
      <c r="G680" s="3"/>
      <c r="H680" s="9"/>
      <c r="I680" s="9"/>
      <c r="J680" s="9"/>
      <c r="K680" s="10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3"/>
      <c r="AM680" s="3"/>
      <c r="AN680" s="10"/>
      <c r="AO680" s="3"/>
      <c r="AP680" s="3"/>
      <c r="AQ680" s="3"/>
      <c r="AR680" s="3"/>
      <c r="AS680" s="3"/>
      <c r="AT680" s="3"/>
      <c r="AU680" s="3"/>
      <c r="AV680" s="3"/>
    </row>
    <row r="681" spans="1:48" ht="15.4" x14ac:dyDescent="0.35">
      <c r="A681" s="9"/>
      <c r="B681" s="3"/>
      <c r="C681" s="10"/>
      <c r="D681" s="10"/>
      <c r="E681" s="10"/>
      <c r="F681" s="10"/>
      <c r="G681" s="3"/>
      <c r="H681" s="9"/>
      <c r="I681" s="9"/>
      <c r="J681" s="9"/>
      <c r="K681" s="10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3"/>
      <c r="AM681" s="3"/>
      <c r="AN681" s="10"/>
      <c r="AO681" s="3"/>
      <c r="AP681" s="3"/>
      <c r="AQ681" s="3"/>
      <c r="AR681" s="3"/>
      <c r="AS681" s="3"/>
      <c r="AT681" s="3"/>
      <c r="AU681" s="3"/>
      <c r="AV681" s="3"/>
    </row>
    <row r="682" spans="1:48" ht="15.4" x14ac:dyDescent="0.35">
      <c r="A682" s="9"/>
      <c r="B682" s="3"/>
      <c r="C682" s="10"/>
      <c r="D682" s="10"/>
      <c r="E682" s="10"/>
      <c r="F682" s="10"/>
      <c r="G682" s="3"/>
      <c r="H682" s="9"/>
      <c r="I682" s="9"/>
      <c r="J682" s="9"/>
      <c r="K682" s="10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3"/>
      <c r="AM682" s="3"/>
      <c r="AN682" s="10"/>
      <c r="AO682" s="3"/>
      <c r="AP682" s="3"/>
      <c r="AQ682" s="3"/>
      <c r="AR682" s="3"/>
      <c r="AS682" s="3"/>
      <c r="AT682" s="3"/>
      <c r="AU682" s="3"/>
      <c r="AV682" s="3"/>
    </row>
    <row r="683" spans="1:48" ht="15.4" x14ac:dyDescent="0.35">
      <c r="A683" s="9"/>
      <c r="B683" s="3"/>
      <c r="C683" s="10"/>
      <c r="D683" s="10"/>
      <c r="E683" s="10"/>
      <c r="F683" s="10"/>
      <c r="G683" s="3"/>
      <c r="H683" s="9"/>
      <c r="I683" s="9"/>
      <c r="J683" s="9"/>
      <c r="K683" s="10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3"/>
      <c r="AM683" s="3"/>
      <c r="AN683" s="10"/>
      <c r="AO683" s="3"/>
      <c r="AP683" s="3"/>
      <c r="AQ683" s="3"/>
      <c r="AR683" s="3"/>
      <c r="AS683" s="3"/>
      <c r="AT683" s="3"/>
      <c r="AU683" s="3"/>
      <c r="AV683" s="3"/>
    </row>
    <row r="684" spans="1:48" ht="15.4" x14ac:dyDescent="0.35">
      <c r="A684" s="9"/>
      <c r="B684" s="3"/>
      <c r="C684" s="10"/>
      <c r="D684" s="10"/>
      <c r="E684" s="10"/>
      <c r="F684" s="10"/>
      <c r="G684" s="3"/>
      <c r="H684" s="9"/>
      <c r="I684" s="9"/>
      <c r="J684" s="9"/>
      <c r="K684" s="10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3"/>
      <c r="AM684" s="3"/>
      <c r="AN684" s="10"/>
      <c r="AO684" s="3"/>
      <c r="AP684" s="3"/>
      <c r="AQ684" s="3"/>
      <c r="AR684" s="3"/>
      <c r="AS684" s="3"/>
      <c r="AT684" s="3"/>
      <c r="AU684" s="3"/>
      <c r="AV684" s="3"/>
    </row>
    <row r="685" spans="1:48" ht="15.4" x14ac:dyDescent="0.35">
      <c r="A685" s="9"/>
      <c r="B685" s="3"/>
      <c r="C685" s="10"/>
      <c r="D685" s="10"/>
      <c r="E685" s="10"/>
      <c r="F685" s="10"/>
      <c r="G685" s="3"/>
      <c r="H685" s="9"/>
      <c r="I685" s="9"/>
      <c r="J685" s="9"/>
      <c r="K685" s="10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3"/>
      <c r="AM685" s="3"/>
      <c r="AN685" s="10"/>
      <c r="AO685" s="3"/>
      <c r="AP685" s="3"/>
      <c r="AQ685" s="3"/>
      <c r="AR685" s="3"/>
      <c r="AS685" s="3"/>
      <c r="AT685" s="3"/>
      <c r="AU685" s="3"/>
      <c r="AV685" s="3"/>
    </row>
    <row r="686" spans="1:48" ht="15.4" x14ac:dyDescent="0.35">
      <c r="A686" s="9"/>
      <c r="B686" s="3"/>
      <c r="C686" s="10"/>
      <c r="D686" s="10"/>
      <c r="E686" s="10"/>
      <c r="F686" s="10"/>
      <c r="G686" s="3"/>
      <c r="H686" s="9"/>
      <c r="I686" s="9"/>
      <c r="J686" s="9"/>
      <c r="K686" s="10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3"/>
      <c r="AM686" s="3"/>
      <c r="AN686" s="10"/>
      <c r="AO686" s="3"/>
      <c r="AP686" s="3"/>
      <c r="AQ686" s="3"/>
      <c r="AR686" s="3"/>
      <c r="AS686" s="3"/>
      <c r="AT686" s="3"/>
      <c r="AU686" s="3"/>
      <c r="AV686" s="3"/>
    </row>
    <row r="687" spans="1:48" ht="15.4" x14ac:dyDescent="0.35">
      <c r="A687" s="9"/>
      <c r="B687" s="3"/>
      <c r="C687" s="10"/>
      <c r="D687" s="10"/>
      <c r="E687" s="10"/>
      <c r="F687" s="10"/>
      <c r="G687" s="3"/>
      <c r="H687" s="9"/>
      <c r="I687" s="9"/>
      <c r="J687" s="9"/>
      <c r="K687" s="10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3"/>
      <c r="AM687" s="3"/>
      <c r="AN687" s="10"/>
      <c r="AO687" s="3"/>
      <c r="AP687" s="3"/>
      <c r="AQ687" s="3"/>
      <c r="AR687" s="3"/>
      <c r="AS687" s="3"/>
      <c r="AT687" s="3"/>
      <c r="AU687" s="3"/>
      <c r="AV687" s="3"/>
    </row>
    <row r="688" spans="1:48" ht="15.4" x14ac:dyDescent="0.35">
      <c r="A688" s="9"/>
      <c r="B688" s="3"/>
      <c r="C688" s="10"/>
      <c r="D688" s="10"/>
      <c r="E688" s="10"/>
      <c r="F688" s="10"/>
      <c r="G688" s="3"/>
      <c r="H688" s="9"/>
      <c r="I688" s="9"/>
      <c r="J688" s="9"/>
      <c r="K688" s="10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3"/>
      <c r="AM688" s="3"/>
      <c r="AN688" s="10"/>
      <c r="AO688" s="3"/>
      <c r="AP688" s="3"/>
      <c r="AQ688" s="3"/>
      <c r="AR688" s="3"/>
      <c r="AS688" s="3"/>
      <c r="AT688" s="3"/>
      <c r="AU688" s="3"/>
      <c r="AV688" s="3"/>
    </row>
    <row r="689" spans="1:48" ht="15.4" x14ac:dyDescent="0.35">
      <c r="A689" s="9"/>
      <c r="B689" s="3"/>
      <c r="C689" s="10"/>
      <c r="D689" s="10"/>
      <c r="E689" s="10"/>
      <c r="F689" s="10"/>
      <c r="G689" s="3"/>
      <c r="H689" s="9"/>
      <c r="I689" s="9"/>
      <c r="J689" s="9"/>
      <c r="K689" s="10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3"/>
      <c r="AM689" s="3"/>
      <c r="AN689" s="10"/>
      <c r="AO689" s="3"/>
      <c r="AP689" s="3"/>
      <c r="AQ689" s="3"/>
      <c r="AR689" s="3"/>
      <c r="AS689" s="3"/>
      <c r="AT689" s="3"/>
      <c r="AU689" s="3"/>
      <c r="AV689" s="3"/>
    </row>
    <row r="690" spans="1:48" ht="15.4" x14ac:dyDescent="0.35">
      <c r="A690" s="9"/>
      <c r="B690" s="3"/>
      <c r="C690" s="10"/>
      <c r="D690" s="10"/>
      <c r="E690" s="10"/>
      <c r="F690" s="10"/>
      <c r="G690" s="3"/>
      <c r="H690" s="9"/>
      <c r="I690" s="9"/>
      <c r="J690" s="9"/>
      <c r="K690" s="10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3"/>
      <c r="AM690" s="3"/>
      <c r="AN690" s="10"/>
      <c r="AO690" s="3"/>
      <c r="AP690" s="3"/>
      <c r="AQ690" s="3"/>
      <c r="AR690" s="3"/>
      <c r="AS690" s="3"/>
      <c r="AT690" s="3"/>
      <c r="AU690" s="3"/>
      <c r="AV690" s="3"/>
    </row>
    <row r="691" spans="1:48" ht="15.4" x14ac:dyDescent="0.35">
      <c r="A691" s="9"/>
      <c r="B691" s="3"/>
      <c r="C691" s="10"/>
      <c r="D691" s="10"/>
      <c r="E691" s="10"/>
      <c r="F691" s="10"/>
      <c r="G691" s="3"/>
      <c r="H691" s="9"/>
      <c r="I691" s="9"/>
      <c r="J691" s="9"/>
      <c r="K691" s="10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3"/>
      <c r="AM691" s="3"/>
      <c r="AN691" s="10"/>
      <c r="AO691" s="3"/>
      <c r="AP691" s="3"/>
      <c r="AQ691" s="3"/>
      <c r="AR691" s="3"/>
      <c r="AS691" s="3"/>
      <c r="AT691" s="3"/>
      <c r="AU691" s="3"/>
      <c r="AV691" s="3"/>
    </row>
    <row r="692" spans="1:48" ht="15.4" x14ac:dyDescent="0.35">
      <c r="A692" s="9"/>
      <c r="B692" s="3"/>
      <c r="C692" s="10"/>
      <c r="D692" s="10"/>
      <c r="E692" s="10"/>
      <c r="F692" s="10"/>
      <c r="G692" s="3"/>
      <c r="H692" s="9"/>
      <c r="I692" s="9"/>
      <c r="J692" s="9"/>
      <c r="K692" s="10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3"/>
      <c r="AM692" s="3"/>
      <c r="AN692" s="10"/>
      <c r="AO692" s="3"/>
      <c r="AP692" s="3"/>
      <c r="AQ692" s="3"/>
      <c r="AR692" s="3"/>
      <c r="AS692" s="3"/>
      <c r="AT692" s="3"/>
      <c r="AU692" s="3"/>
      <c r="AV692" s="3"/>
    </row>
    <row r="693" spans="1:48" ht="15.4" x14ac:dyDescent="0.35">
      <c r="A693" s="9"/>
      <c r="B693" s="3"/>
      <c r="C693" s="10"/>
      <c r="D693" s="10"/>
      <c r="E693" s="10"/>
      <c r="F693" s="10"/>
      <c r="G693" s="3"/>
      <c r="H693" s="9"/>
      <c r="I693" s="9"/>
      <c r="J693" s="9"/>
      <c r="K693" s="10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3"/>
      <c r="AM693" s="3"/>
      <c r="AN693" s="10"/>
      <c r="AO693" s="3"/>
      <c r="AP693" s="3"/>
      <c r="AQ693" s="3"/>
      <c r="AR693" s="3"/>
      <c r="AS693" s="3"/>
      <c r="AT693" s="3"/>
      <c r="AU693" s="3"/>
      <c r="AV693" s="3"/>
    </row>
    <row r="694" spans="1:48" ht="15.4" x14ac:dyDescent="0.35">
      <c r="A694" s="9"/>
      <c r="B694" s="3"/>
      <c r="C694" s="10"/>
      <c r="D694" s="10"/>
      <c r="E694" s="10"/>
      <c r="F694" s="10"/>
      <c r="G694" s="3"/>
      <c r="H694" s="9"/>
      <c r="I694" s="9"/>
      <c r="J694" s="9"/>
      <c r="K694" s="10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3"/>
      <c r="AM694" s="3"/>
      <c r="AN694" s="10"/>
      <c r="AO694" s="3"/>
      <c r="AP694" s="3"/>
      <c r="AQ694" s="3"/>
      <c r="AR694" s="3"/>
      <c r="AS694" s="3"/>
      <c r="AT694" s="3"/>
      <c r="AU694" s="3"/>
      <c r="AV694" s="3"/>
    </row>
    <row r="695" spans="1:48" ht="15.4" x14ac:dyDescent="0.35">
      <c r="A695" s="9"/>
      <c r="B695" s="3"/>
      <c r="C695" s="10"/>
      <c r="D695" s="10"/>
      <c r="E695" s="10"/>
      <c r="F695" s="10"/>
      <c r="G695" s="3"/>
      <c r="H695" s="9"/>
      <c r="I695" s="9"/>
      <c r="J695" s="9"/>
      <c r="K695" s="10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3"/>
      <c r="AM695" s="3"/>
      <c r="AN695" s="10"/>
      <c r="AO695" s="3"/>
      <c r="AP695" s="3"/>
      <c r="AQ695" s="3"/>
      <c r="AR695" s="3"/>
      <c r="AS695" s="3"/>
      <c r="AT695" s="3"/>
      <c r="AU695" s="3"/>
      <c r="AV695" s="3"/>
    </row>
    <row r="696" spans="1:48" ht="15.4" x14ac:dyDescent="0.35">
      <c r="A696" s="9"/>
      <c r="B696" s="3"/>
      <c r="C696" s="10"/>
      <c r="D696" s="10"/>
      <c r="E696" s="10"/>
      <c r="F696" s="10"/>
      <c r="G696" s="3"/>
      <c r="H696" s="9"/>
      <c r="I696" s="9"/>
      <c r="J696" s="9"/>
      <c r="K696" s="10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3"/>
      <c r="AM696" s="3"/>
      <c r="AN696" s="10"/>
      <c r="AO696" s="3"/>
      <c r="AP696" s="3"/>
      <c r="AQ696" s="3"/>
      <c r="AR696" s="3"/>
      <c r="AS696" s="3"/>
      <c r="AT696" s="3"/>
      <c r="AU696" s="3"/>
      <c r="AV696" s="3"/>
    </row>
    <row r="697" spans="1:48" ht="15.4" x14ac:dyDescent="0.35">
      <c r="A697" s="9"/>
      <c r="B697" s="3"/>
      <c r="C697" s="10"/>
      <c r="D697" s="10"/>
      <c r="E697" s="10"/>
      <c r="F697" s="10"/>
      <c r="G697" s="3"/>
      <c r="H697" s="9"/>
      <c r="I697" s="9"/>
      <c r="J697" s="9"/>
      <c r="K697" s="10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3"/>
      <c r="AM697" s="3"/>
      <c r="AN697" s="10"/>
      <c r="AO697" s="3"/>
      <c r="AP697" s="3"/>
      <c r="AQ697" s="3"/>
      <c r="AR697" s="3"/>
      <c r="AS697" s="3"/>
      <c r="AT697" s="3"/>
      <c r="AU697" s="3"/>
      <c r="AV697" s="3"/>
    </row>
    <row r="698" spans="1:48" ht="15.4" x14ac:dyDescent="0.35">
      <c r="A698" s="9"/>
      <c r="B698" s="3"/>
      <c r="C698" s="10"/>
      <c r="D698" s="10"/>
      <c r="E698" s="10"/>
      <c r="F698" s="10"/>
      <c r="G698" s="3"/>
      <c r="H698" s="9"/>
      <c r="I698" s="9"/>
      <c r="J698" s="9"/>
      <c r="K698" s="10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3"/>
      <c r="AM698" s="3"/>
      <c r="AN698" s="10"/>
      <c r="AO698" s="3"/>
      <c r="AP698" s="3"/>
      <c r="AQ698" s="3"/>
      <c r="AR698" s="3"/>
      <c r="AS698" s="3"/>
      <c r="AT698" s="3"/>
      <c r="AU698" s="3"/>
      <c r="AV698" s="3"/>
    </row>
    <row r="699" spans="1:48" ht="15.4" x14ac:dyDescent="0.35">
      <c r="A699" s="9"/>
      <c r="B699" s="3"/>
      <c r="C699" s="10"/>
      <c r="D699" s="10"/>
      <c r="E699" s="10"/>
      <c r="F699" s="10"/>
      <c r="G699" s="3"/>
      <c r="H699" s="9"/>
      <c r="I699" s="9"/>
      <c r="J699" s="9"/>
      <c r="K699" s="10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3"/>
      <c r="AM699" s="3"/>
      <c r="AN699" s="10"/>
      <c r="AO699" s="3"/>
      <c r="AP699" s="3"/>
      <c r="AQ699" s="3"/>
      <c r="AR699" s="3"/>
      <c r="AS699" s="3"/>
      <c r="AT699" s="3"/>
      <c r="AU699" s="3"/>
      <c r="AV699" s="3"/>
    </row>
    <row r="700" spans="1:48" ht="15.4" x14ac:dyDescent="0.35">
      <c r="A700" s="9"/>
      <c r="B700" s="3"/>
      <c r="C700" s="10"/>
      <c r="D700" s="10"/>
      <c r="E700" s="10"/>
      <c r="F700" s="10"/>
      <c r="G700" s="3"/>
      <c r="H700" s="9"/>
      <c r="I700" s="9"/>
      <c r="J700" s="9"/>
      <c r="K700" s="10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3"/>
      <c r="AM700" s="3"/>
      <c r="AN700" s="10"/>
      <c r="AO700" s="3"/>
      <c r="AP700" s="3"/>
      <c r="AQ700" s="3"/>
      <c r="AR700" s="3"/>
      <c r="AS700" s="3"/>
      <c r="AT700" s="3"/>
      <c r="AU700" s="3"/>
      <c r="AV700" s="3"/>
    </row>
    <row r="701" spans="1:48" ht="15.4" x14ac:dyDescent="0.35">
      <c r="A701" s="9"/>
      <c r="B701" s="3"/>
      <c r="C701" s="10"/>
      <c r="D701" s="10"/>
      <c r="E701" s="10"/>
      <c r="F701" s="10"/>
      <c r="G701" s="3"/>
      <c r="H701" s="9"/>
      <c r="I701" s="9"/>
      <c r="J701" s="9"/>
      <c r="K701" s="10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3"/>
      <c r="AM701" s="3"/>
      <c r="AN701" s="10"/>
      <c r="AO701" s="3"/>
      <c r="AP701" s="3"/>
      <c r="AQ701" s="3"/>
      <c r="AR701" s="3"/>
      <c r="AS701" s="3"/>
      <c r="AT701" s="3"/>
      <c r="AU701" s="3"/>
      <c r="AV701" s="3"/>
    </row>
    <row r="702" spans="1:48" ht="15.4" x14ac:dyDescent="0.35">
      <c r="A702" s="9"/>
      <c r="B702" s="3"/>
      <c r="C702" s="10"/>
      <c r="D702" s="10"/>
      <c r="E702" s="10"/>
      <c r="F702" s="10"/>
      <c r="G702" s="3"/>
      <c r="H702" s="9"/>
      <c r="I702" s="9"/>
      <c r="J702" s="9"/>
      <c r="K702" s="10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3"/>
      <c r="AM702" s="3"/>
      <c r="AN702" s="10"/>
      <c r="AO702" s="3"/>
      <c r="AP702" s="3"/>
      <c r="AQ702" s="3"/>
      <c r="AR702" s="3"/>
      <c r="AS702" s="3"/>
      <c r="AT702" s="3"/>
      <c r="AU702" s="3"/>
      <c r="AV702" s="3"/>
    </row>
    <row r="703" spans="1:48" ht="15.4" x14ac:dyDescent="0.35">
      <c r="A703" s="9"/>
      <c r="B703" s="3"/>
      <c r="C703" s="10"/>
      <c r="D703" s="10"/>
      <c r="E703" s="10"/>
      <c r="F703" s="10"/>
      <c r="G703" s="3"/>
      <c r="H703" s="9"/>
      <c r="I703" s="9"/>
      <c r="J703" s="9"/>
      <c r="K703" s="10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3"/>
      <c r="AM703" s="3"/>
      <c r="AN703" s="10"/>
      <c r="AO703" s="3"/>
      <c r="AP703" s="3"/>
      <c r="AQ703" s="3"/>
      <c r="AR703" s="3"/>
      <c r="AS703" s="3"/>
      <c r="AT703" s="3"/>
      <c r="AU703" s="3"/>
      <c r="AV703" s="3"/>
    </row>
    <row r="704" spans="1:48" ht="15.4" x14ac:dyDescent="0.35">
      <c r="A704" s="9"/>
      <c r="B704" s="3"/>
      <c r="C704" s="10"/>
      <c r="D704" s="10"/>
      <c r="E704" s="10"/>
      <c r="F704" s="10"/>
      <c r="G704" s="3"/>
      <c r="H704" s="9"/>
      <c r="I704" s="9"/>
      <c r="J704" s="9"/>
      <c r="K704" s="10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3"/>
      <c r="AM704" s="3"/>
      <c r="AN704" s="10"/>
      <c r="AO704" s="3"/>
      <c r="AP704" s="3"/>
      <c r="AQ704" s="3"/>
      <c r="AR704" s="3"/>
      <c r="AS704" s="3"/>
      <c r="AT704" s="3"/>
      <c r="AU704" s="3"/>
      <c r="AV704" s="3"/>
    </row>
    <row r="705" spans="1:48" ht="15.4" x14ac:dyDescent="0.35">
      <c r="A705" s="9"/>
      <c r="B705" s="3"/>
      <c r="C705" s="10"/>
      <c r="D705" s="10"/>
      <c r="E705" s="10"/>
      <c r="F705" s="10"/>
      <c r="G705" s="3"/>
      <c r="H705" s="9"/>
      <c r="I705" s="9"/>
      <c r="J705" s="9"/>
      <c r="K705" s="10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3"/>
      <c r="AM705" s="3"/>
      <c r="AN705" s="10"/>
      <c r="AO705" s="3"/>
      <c r="AP705" s="3"/>
      <c r="AQ705" s="3"/>
      <c r="AR705" s="3"/>
      <c r="AS705" s="3"/>
      <c r="AT705" s="3"/>
      <c r="AU705" s="3"/>
      <c r="AV705" s="3"/>
    </row>
    <row r="706" spans="1:48" ht="15.4" x14ac:dyDescent="0.35">
      <c r="A706" s="9"/>
      <c r="B706" s="3"/>
      <c r="C706" s="10"/>
      <c r="D706" s="10"/>
      <c r="E706" s="10"/>
      <c r="F706" s="10"/>
      <c r="G706" s="3"/>
      <c r="H706" s="9"/>
      <c r="I706" s="9"/>
      <c r="J706" s="9"/>
      <c r="K706" s="10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3"/>
      <c r="AM706" s="3"/>
      <c r="AN706" s="10"/>
      <c r="AO706" s="3"/>
      <c r="AP706" s="3"/>
      <c r="AQ706" s="3"/>
      <c r="AR706" s="3"/>
      <c r="AS706" s="3"/>
      <c r="AT706" s="3"/>
      <c r="AU706" s="3"/>
      <c r="AV706" s="3"/>
    </row>
    <row r="707" spans="1:48" ht="15.4" x14ac:dyDescent="0.35">
      <c r="A707" s="9"/>
      <c r="B707" s="3"/>
      <c r="C707" s="10"/>
      <c r="D707" s="10"/>
      <c r="E707" s="10"/>
      <c r="F707" s="10"/>
      <c r="G707" s="3"/>
      <c r="H707" s="9"/>
      <c r="I707" s="9"/>
      <c r="J707" s="9"/>
      <c r="K707" s="10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3"/>
      <c r="AM707" s="3"/>
      <c r="AN707" s="10"/>
      <c r="AO707" s="3"/>
      <c r="AP707" s="3"/>
      <c r="AQ707" s="3"/>
      <c r="AR707" s="3"/>
      <c r="AS707" s="3"/>
      <c r="AT707" s="3"/>
      <c r="AU707" s="3"/>
      <c r="AV707" s="3"/>
    </row>
    <row r="708" spans="1:48" ht="15.4" x14ac:dyDescent="0.35">
      <c r="A708" s="9"/>
      <c r="B708" s="3"/>
      <c r="C708" s="10"/>
      <c r="D708" s="10"/>
      <c r="E708" s="10"/>
      <c r="F708" s="10"/>
      <c r="G708" s="3"/>
      <c r="H708" s="9"/>
      <c r="I708" s="9"/>
      <c r="J708" s="9"/>
      <c r="K708" s="10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3"/>
      <c r="AM708" s="3"/>
      <c r="AN708" s="10"/>
      <c r="AO708" s="3"/>
      <c r="AP708" s="3"/>
      <c r="AQ708" s="3"/>
      <c r="AR708" s="3"/>
      <c r="AS708" s="3"/>
      <c r="AT708" s="3"/>
      <c r="AU708" s="3"/>
      <c r="AV708" s="3"/>
    </row>
    <row r="709" spans="1:48" ht="15.4" x14ac:dyDescent="0.35">
      <c r="A709" s="9"/>
      <c r="B709" s="3"/>
      <c r="C709" s="10"/>
      <c r="D709" s="10"/>
      <c r="E709" s="10"/>
      <c r="F709" s="10"/>
      <c r="G709" s="3"/>
      <c r="H709" s="9"/>
      <c r="I709" s="9"/>
      <c r="J709" s="9"/>
      <c r="K709" s="10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3"/>
      <c r="AM709" s="3"/>
      <c r="AN709" s="10"/>
      <c r="AO709" s="3"/>
      <c r="AP709" s="3"/>
      <c r="AQ709" s="3"/>
      <c r="AR709" s="3"/>
      <c r="AS709" s="3"/>
      <c r="AT709" s="3"/>
      <c r="AU709" s="3"/>
      <c r="AV709" s="3"/>
    </row>
    <row r="710" spans="1:48" ht="15.4" x14ac:dyDescent="0.35">
      <c r="A710" s="9"/>
      <c r="B710" s="3"/>
      <c r="C710" s="10"/>
      <c r="D710" s="10"/>
      <c r="E710" s="10"/>
      <c r="F710" s="10"/>
      <c r="G710" s="3"/>
      <c r="H710" s="9"/>
      <c r="I710" s="9"/>
      <c r="J710" s="9"/>
      <c r="K710" s="10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3"/>
      <c r="AM710" s="3"/>
      <c r="AN710" s="10"/>
      <c r="AO710" s="3"/>
      <c r="AP710" s="3"/>
      <c r="AQ710" s="3"/>
      <c r="AR710" s="3"/>
      <c r="AS710" s="3"/>
      <c r="AT710" s="3"/>
      <c r="AU710" s="3"/>
      <c r="AV710" s="3"/>
    </row>
    <row r="711" spans="1:48" ht="15.4" x14ac:dyDescent="0.35">
      <c r="A711" s="9"/>
      <c r="B711" s="3"/>
      <c r="C711" s="10"/>
      <c r="D711" s="10"/>
      <c r="E711" s="10"/>
      <c r="F711" s="10"/>
      <c r="G711" s="3"/>
      <c r="H711" s="9"/>
      <c r="I711" s="9"/>
      <c r="J711" s="9"/>
      <c r="K711" s="10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3"/>
      <c r="AM711" s="3"/>
      <c r="AN711" s="10"/>
      <c r="AO711" s="3"/>
      <c r="AP711" s="3"/>
      <c r="AQ711" s="3"/>
      <c r="AR711" s="3"/>
      <c r="AS711" s="3"/>
      <c r="AT711" s="3"/>
      <c r="AU711" s="3"/>
      <c r="AV711" s="3"/>
    </row>
    <row r="712" spans="1:48" ht="15.4" x14ac:dyDescent="0.35">
      <c r="A712" s="9"/>
      <c r="B712" s="3"/>
      <c r="C712" s="10"/>
      <c r="D712" s="10"/>
      <c r="E712" s="10"/>
      <c r="F712" s="10"/>
      <c r="G712" s="3"/>
      <c r="H712" s="9"/>
      <c r="I712" s="9"/>
      <c r="J712" s="9"/>
      <c r="K712" s="10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3"/>
      <c r="AM712" s="3"/>
      <c r="AN712" s="10"/>
      <c r="AO712" s="3"/>
      <c r="AP712" s="3"/>
      <c r="AQ712" s="3"/>
      <c r="AR712" s="3"/>
      <c r="AS712" s="3"/>
      <c r="AT712" s="3"/>
      <c r="AU712" s="3"/>
      <c r="AV712" s="3"/>
    </row>
    <row r="713" spans="1:48" ht="15.4" x14ac:dyDescent="0.35">
      <c r="A713" s="9"/>
      <c r="B713" s="3"/>
      <c r="C713" s="10"/>
      <c r="D713" s="10"/>
      <c r="E713" s="10"/>
      <c r="F713" s="10"/>
      <c r="G713" s="3"/>
      <c r="H713" s="9"/>
      <c r="I713" s="9"/>
      <c r="J713" s="9"/>
      <c r="K713" s="10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3"/>
      <c r="AM713" s="3"/>
      <c r="AN713" s="10"/>
      <c r="AO713" s="3"/>
      <c r="AP713" s="3"/>
      <c r="AQ713" s="3"/>
      <c r="AR713" s="3"/>
      <c r="AS713" s="3"/>
      <c r="AT713" s="3"/>
      <c r="AU713" s="3"/>
      <c r="AV713" s="3"/>
    </row>
    <row r="714" spans="1:48" ht="15.4" x14ac:dyDescent="0.35">
      <c r="A714" s="9"/>
      <c r="B714" s="3"/>
      <c r="C714" s="10"/>
      <c r="D714" s="10"/>
      <c r="E714" s="10"/>
      <c r="F714" s="10"/>
      <c r="G714" s="3"/>
      <c r="H714" s="9"/>
      <c r="I714" s="9"/>
      <c r="J714" s="9"/>
      <c r="K714" s="10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3"/>
      <c r="AM714" s="3"/>
      <c r="AN714" s="10"/>
      <c r="AO714" s="3"/>
      <c r="AP714" s="3"/>
      <c r="AQ714" s="3"/>
      <c r="AR714" s="3"/>
      <c r="AS714" s="3"/>
      <c r="AT714" s="3"/>
      <c r="AU714" s="3"/>
      <c r="AV714" s="3"/>
    </row>
    <row r="715" spans="1:48" ht="15.4" x14ac:dyDescent="0.35">
      <c r="A715" s="9"/>
      <c r="B715" s="3"/>
      <c r="C715" s="10"/>
      <c r="D715" s="10"/>
      <c r="E715" s="10"/>
      <c r="F715" s="10"/>
      <c r="G715" s="3"/>
      <c r="H715" s="9"/>
      <c r="I715" s="9"/>
      <c r="J715" s="9"/>
      <c r="K715" s="10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3"/>
      <c r="AM715" s="3"/>
      <c r="AN715" s="10"/>
      <c r="AO715" s="3"/>
      <c r="AP715" s="3"/>
      <c r="AQ715" s="3"/>
      <c r="AR715" s="3"/>
      <c r="AS715" s="3"/>
      <c r="AT715" s="3"/>
      <c r="AU715" s="3"/>
      <c r="AV715" s="3"/>
    </row>
    <row r="716" spans="1:48" ht="15.4" x14ac:dyDescent="0.35">
      <c r="A716" s="9"/>
      <c r="B716" s="3"/>
      <c r="C716" s="10"/>
      <c r="D716" s="10"/>
      <c r="E716" s="10"/>
      <c r="F716" s="10"/>
      <c r="G716" s="3"/>
      <c r="H716" s="9"/>
      <c r="I716" s="9"/>
      <c r="J716" s="9"/>
      <c r="K716" s="10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3"/>
      <c r="AM716" s="3"/>
      <c r="AN716" s="10"/>
      <c r="AO716" s="3"/>
      <c r="AP716" s="3"/>
      <c r="AQ716" s="3"/>
      <c r="AR716" s="3"/>
      <c r="AS716" s="3"/>
      <c r="AT716" s="3"/>
      <c r="AU716" s="3"/>
      <c r="AV716" s="3"/>
    </row>
    <row r="717" spans="1:48" ht="15.4" x14ac:dyDescent="0.35">
      <c r="A717" s="9"/>
      <c r="B717" s="3"/>
      <c r="C717" s="10"/>
      <c r="D717" s="10"/>
      <c r="E717" s="10"/>
      <c r="F717" s="10"/>
      <c r="G717" s="3"/>
      <c r="H717" s="9"/>
      <c r="I717" s="9"/>
      <c r="J717" s="9"/>
      <c r="K717" s="10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3"/>
      <c r="AM717" s="3"/>
      <c r="AN717" s="10"/>
      <c r="AO717" s="3"/>
      <c r="AP717" s="3"/>
      <c r="AQ717" s="3"/>
      <c r="AR717" s="3"/>
      <c r="AS717" s="3"/>
      <c r="AT717" s="3"/>
      <c r="AU717" s="3"/>
      <c r="AV717" s="3"/>
    </row>
    <row r="718" spans="1:48" ht="15.4" x14ac:dyDescent="0.35">
      <c r="A718" s="9"/>
      <c r="B718" s="3"/>
      <c r="C718" s="10"/>
      <c r="D718" s="10"/>
      <c r="E718" s="10"/>
      <c r="F718" s="10"/>
      <c r="G718" s="3"/>
      <c r="H718" s="9"/>
      <c r="I718" s="9"/>
      <c r="J718" s="9"/>
      <c r="K718" s="10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3"/>
      <c r="AM718" s="3"/>
      <c r="AN718" s="10"/>
      <c r="AO718" s="3"/>
      <c r="AP718" s="3"/>
      <c r="AQ718" s="3"/>
      <c r="AR718" s="3"/>
      <c r="AS718" s="3"/>
      <c r="AT718" s="3"/>
      <c r="AU718" s="3"/>
      <c r="AV718" s="3"/>
    </row>
    <row r="719" spans="1:48" ht="15.4" x14ac:dyDescent="0.35">
      <c r="A719" s="9"/>
      <c r="B719" s="3"/>
      <c r="C719" s="10"/>
      <c r="D719" s="10"/>
      <c r="E719" s="10"/>
      <c r="F719" s="10"/>
      <c r="G719" s="3"/>
      <c r="H719" s="9"/>
      <c r="I719" s="9"/>
      <c r="J719" s="9"/>
      <c r="K719" s="10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3"/>
      <c r="AM719" s="3"/>
      <c r="AN719" s="10"/>
      <c r="AO719" s="3"/>
      <c r="AP719" s="3"/>
      <c r="AQ719" s="3"/>
      <c r="AR719" s="3"/>
      <c r="AS719" s="3"/>
      <c r="AT719" s="3"/>
      <c r="AU719" s="3"/>
      <c r="AV719" s="3"/>
    </row>
    <row r="720" spans="1:48" ht="15.4" x14ac:dyDescent="0.35">
      <c r="A720" s="9"/>
      <c r="B720" s="3"/>
      <c r="C720" s="10"/>
      <c r="D720" s="10"/>
      <c r="E720" s="10"/>
      <c r="F720" s="10"/>
      <c r="G720" s="3"/>
      <c r="H720" s="9"/>
      <c r="I720" s="9"/>
      <c r="J720" s="9"/>
      <c r="K720" s="10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3"/>
      <c r="AM720" s="3"/>
      <c r="AN720" s="10"/>
      <c r="AO720" s="3"/>
      <c r="AP720" s="3"/>
      <c r="AQ720" s="3"/>
      <c r="AR720" s="3"/>
      <c r="AS720" s="3"/>
      <c r="AT720" s="3"/>
      <c r="AU720" s="3"/>
      <c r="AV720" s="3"/>
    </row>
    <row r="721" spans="1:48" ht="15.4" x14ac:dyDescent="0.35">
      <c r="A721" s="9"/>
      <c r="B721" s="3"/>
      <c r="C721" s="10"/>
      <c r="D721" s="10"/>
      <c r="E721" s="10"/>
      <c r="F721" s="10"/>
      <c r="G721" s="3"/>
      <c r="H721" s="9"/>
      <c r="I721" s="9"/>
      <c r="J721" s="9"/>
      <c r="K721" s="10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3"/>
      <c r="AM721" s="3"/>
      <c r="AN721" s="10"/>
      <c r="AO721" s="3"/>
      <c r="AP721" s="3"/>
      <c r="AQ721" s="3"/>
      <c r="AR721" s="3"/>
      <c r="AS721" s="3"/>
      <c r="AT721" s="3"/>
      <c r="AU721" s="3"/>
      <c r="AV721" s="3"/>
    </row>
    <row r="722" spans="1:48" ht="15.4" x14ac:dyDescent="0.35">
      <c r="A722" s="9"/>
      <c r="B722" s="3"/>
      <c r="C722" s="10"/>
      <c r="D722" s="10"/>
      <c r="E722" s="10"/>
      <c r="F722" s="10"/>
      <c r="G722" s="3"/>
      <c r="H722" s="9"/>
      <c r="I722" s="9"/>
      <c r="J722" s="9"/>
      <c r="K722" s="10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3"/>
      <c r="AM722" s="3"/>
      <c r="AN722" s="10"/>
      <c r="AO722" s="3"/>
      <c r="AP722" s="3"/>
      <c r="AQ722" s="3"/>
      <c r="AR722" s="3"/>
      <c r="AS722" s="3"/>
      <c r="AT722" s="3"/>
      <c r="AU722" s="3"/>
      <c r="AV722" s="3"/>
    </row>
    <row r="723" spans="1:48" ht="15.4" x14ac:dyDescent="0.35">
      <c r="A723" s="9"/>
      <c r="B723" s="3"/>
      <c r="C723" s="10"/>
      <c r="D723" s="10"/>
      <c r="E723" s="10"/>
      <c r="F723" s="10"/>
      <c r="G723" s="3"/>
      <c r="H723" s="9"/>
      <c r="I723" s="9"/>
      <c r="J723" s="9"/>
      <c r="K723" s="10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3"/>
      <c r="AM723" s="3"/>
      <c r="AN723" s="10"/>
      <c r="AO723" s="3"/>
      <c r="AP723" s="3"/>
      <c r="AQ723" s="3"/>
      <c r="AR723" s="3"/>
      <c r="AS723" s="3"/>
      <c r="AT723" s="3"/>
      <c r="AU723" s="3"/>
      <c r="AV723" s="3"/>
    </row>
    <row r="724" spans="1:48" ht="15.4" x14ac:dyDescent="0.35">
      <c r="A724" s="9"/>
      <c r="B724" s="3"/>
      <c r="C724" s="10"/>
      <c r="D724" s="10"/>
      <c r="E724" s="10"/>
      <c r="F724" s="10"/>
      <c r="G724" s="3"/>
      <c r="H724" s="9"/>
      <c r="I724" s="9"/>
      <c r="J724" s="9"/>
      <c r="K724" s="10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3"/>
      <c r="AM724" s="3"/>
      <c r="AN724" s="10"/>
      <c r="AO724" s="3"/>
      <c r="AP724" s="3"/>
      <c r="AQ724" s="3"/>
      <c r="AR724" s="3"/>
      <c r="AS724" s="3"/>
      <c r="AT724" s="3"/>
      <c r="AU724" s="3"/>
      <c r="AV724" s="3"/>
    </row>
    <row r="725" spans="1:48" ht="15.4" x14ac:dyDescent="0.35">
      <c r="A725" s="9"/>
      <c r="B725" s="3"/>
      <c r="C725" s="10"/>
      <c r="D725" s="10"/>
      <c r="E725" s="10"/>
      <c r="F725" s="10"/>
      <c r="G725" s="3"/>
      <c r="H725" s="9"/>
      <c r="I725" s="9"/>
      <c r="J725" s="9"/>
      <c r="K725" s="10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3"/>
      <c r="AM725" s="3"/>
      <c r="AN725" s="10"/>
      <c r="AO725" s="3"/>
      <c r="AP725" s="3"/>
      <c r="AQ725" s="3"/>
      <c r="AR725" s="3"/>
      <c r="AS725" s="3"/>
      <c r="AT725" s="3"/>
      <c r="AU725" s="3"/>
      <c r="AV725" s="3"/>
    </row>
    <row r="726" spans="1:48" ht="15.4" x14ac:dyDescent="0.35">
      <c r="A726" s="9"/>
      <c r="B726" s="3"/>
      <c r="C726" s="10"/>
      <c r="D726" s="10"/>
      <c r="E726" s="10"/>
      <c r="F726" s="10"/>
      <c r="G726" s="3"/>
      <c r="H726" s="9"/>
      <c r="I726" s="9"/>
      <c r="J726" s="9"/>
      <c r="K726" s="10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3"/>
      <c r="AM726" s="3"/>
      <c r="AN726" s="10"/>
      <c r="AO726" s="3"/>
      <c r="AP726" s="3"/>
      <c r="AQ726" s="3"/>
      <c r="AR726" s="3"/>
      <c r="AS726" s="3"/>
      <c r="AT726" s="3"/>
      <c r="AU726" s="3"/>
      <c r="AV726" s="3"/>
    </row>
    <row r="727" spans="1:48" ht="15.4" x14ac:dyDescent="0.35">
      <c r="A727" s="9"/>
      <c r="B727" s="3"/>
      <c r="C727" s="10"/>
      <c r="D727" s="10"/>
      <c r="E727" s="10"/>
      <c r="F727" s="10"/>
      <c r="G727" s="3"/>
      <c r="H727" s="9"/>
      <c r="I727" s="9"/>
      <c r="J727" s="9"/>
      <c r="K727" s="10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3"/>
      <c r="AM727" s="3"/>
      <c r="AN727" s="10"/>
      <c r="AO727" s="3"/>
      <c r="AP727" s="3"/>
      <c r="AQ727" s="3"/>
      <c r="AR727" s="3"/>
      <c r="AS727" s="3"/>
      <c r="AT727" s="3"/>
      <c r="AU727" s="3"/>
      <c r="AV727" s="3"/>
    </row>
    <row r="728" spans="1:48" ht="15.4" x14ac:dyDescent="0.35">
      <c r="A728" s="9"/>
      <c r="B728" s="3"/>
      <c r="C728" s="10"/>
      <c r="D728" s="10"/>
      <c r="E728" s="10"/>
      <c r="F728" s="10"/>
      <c r="G728" s="3"/>
      <c r="H728" s="9"/>
      <c r="I728" s="9"/>
      <c r="J728" s="9"/>
      <c r="K728" s="10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3"/>
      <c r="AM728" s="3"/>
      <c r="AN728" s="10"/>
      <c r="AO728" s="3"/>
      <c r="AP728" s="3"/>
      <c r="AQ728" s="3"/>
      <c r="AR728" s="3"/>
      <c r="AS728" s="3"/>
      <c r="AT728" s="3"/>
      <c r="AU728" s="3"/>
      <c r="AV728" s="3"/>
    </row>
    <row r="729" spans="1:48" ht="15.4" x14ac:dyDescent="0.35">
      <c r="A729" s="9"/>
      <c r="B729" s="3"/>
      <c r="C729" s="10"/>
      <c r="D729" s="10"/>
      <c r="E729" s="10"/>
      <c r="F729" s="10"/>
      <c r="G729" s="3"/>
      <c r="H729" s="9"/>
      <c r="I729" s="9"/>
      <c r="J729" s="9"/>
      <c r="K729" s="10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3"/>
      <c r="AM729" s="3"/>
      <c r="AN729" s="10"/>
      <c r="AO729" s="3"/>
      <c r="AP729" s="3"/>
      <c r="AQ729" s="3"/>
      <c r="AR729" s="3"/>
      <c r="AS729" s="3"/>
      <c r="AT729" s="3"/>
      <c r="AU729" s="3"/>
      <c r="AV729" s="3"/>
    </row>
    <row r="730" spans="1:48" ht="15.4" x14ac:dyDescent="0.35">
      <c r="A730" s="9"/>
      <c r="B730" s="3"/>
      <c r="C730" s="10"/>
      <c r="D730" s="10"/>
      <c r="E730" s="10"/>
      <c r="F730" s="10"/>
      <c r="G730" s="3"/>
      <c r="H730" s="9"/>
      <c r="I730" s="9"/>
      <c r="J730" s="9"/>
      <c r="K730" s="10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3"/>
      <c r="AM730" s="3"/>
      <c r="AN730" s="10"/>
      <c r="AO730" s="3"/>
      <c r="AP730" s="3"/>
      <c r="AQ730" s="3"/>
      <c r="AR730" s="3"/>
      <c r="AS730" s="3"/>
      <c r="AT730" s="3"/>
      <c r="AU730" s="3"/>
      <c r="AV730" s="3"/>
    </row>
    <row r="731" spans="1:48" ht="15.4" x14ac:dyDescent="0.35">
      <c r="A731" s="9"/>
      <c r="B731" s="3"/>
      <c r="C731" s="10"/>
      <c r="D731" s="10"/>
      <c r="E731" s="10"/>
      <c r="F731" s="10"/>
      <c r="G731" s="3"/>
      <c r="H731" s="9"/>
      <c r="I731" s="9"/>
      <c r="J731" s="9"/>
      <c r="K731" s="10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3"/>
      <c r="AM731" s="3"/>
      <c r="AN731" s="10"/>
      <c r="AO731" s="3"/>
      <c r="AP731" s="3"/>
      <c r="AQ731" s="3"/>
      <c r="AR731" s="3"/>
      <c r="AS731" s="3"/>
      <c r="AT731" s="3"/>
      <c r="AU731" s="3"/>
      <c r="AV731" s="3"/>
    </row>
    <row r="732" spans="1:48" ht="15.4" x14ac:dyDescent="0.35">
      <c r="A732" s="9"/>
      <c r="B732" s="3"/>
      <c r="C732" s="10"/>
      <c r="D732" s="10"/>
      <c r="E732" s="10"/>
      <c r="F732" s="10"/>
      <c r="G732" s="3"/>
      <c r="H732" s="9"/>
      <c r="I732" s="9"/>
      <c r="J732" s="9"/>
      <c r="K732" s="10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3"/>
      <c r="AM732" s="3"/>
      <c r="AN732" s="10"/>
      <c r="AO732" s="3"/>
      <c r="AP732" s="3"/>
      <c r="AQ732" s="3"/>
      <c r="AR732" s="3"/>
      <c r="AS732" s="3"/>
      <c r="AT732" s="3"/>
      <c r="AU732" s="3"/>
      <c r="AV732" s="3"/>
    </row>
    <row r="733" spans="1:48" ht="15.4" x14ac:dyDescent="0.35">
      <c r="A733" s="9"/>
      <c r="B733" s="3"/>
      <c r="C733" s="10"/>
      <c r="D733" s="10"/>
      <c r="E733" s="10"/>
      <c r="F733" s="10"/>
      <c r="G733" s="3"/>
      <c r="H733" s="9"/>
      <c r="I733" s="9"/>
      <c r="J733" s="9"/>
      <c r="K733" s="10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3"/>
      <c r="AM733" s="3"/>
      <c r="AN733" s="10"/>
      <c r="AO733" s="3"/>
      <c r="AP733" s="3"/>
      <c r="AQ733" s="3"/>
      <c r="AR733" s="3"/>
      <c r="AS733" s="3"/>
      <c r="AT733" s="3"/>
      <c r="AU733" s="3"/>
      <c r="AV733" s="3"/>
    </row>
    <row r="734" spans="1:48" ht="15.4" x14ac:dyDescent="0.35">
      <c r="A734" s="9"/>
      <c r="B734" s="3"/>
      <c r="C734" s="10"/>
      <c r="D734" s="10"/>
      <c r="E734" s="10"/>
      <c r="F734" s="10"/>
      <c r="G734" s="3"/>
      <c r="H734" s="9"/>
      <c r="I734" s="9"/>
      <c r="J734" s="9"/>
      <c r="K734" s="10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3"/>
      <c r="AM734" s="3"/>
      <c r="AN734" s="10"/>
      <c r="AO734" s="3"/>
      <c r="AP734" s="3"/>
      <c r="AQ734" s="3"/>
      <c r="AR734" s="3"/>
      <c r="AS734" s="3"/>
      <c r="AT734" s="3"/>
      <c r="AU734" s="3"/>
      <c r="AV734" s="3"/>
    </row>
    <row r="735" spans="1:48" ht="15.4" x14ac:dyDescent="0.35">
      <c r="A735" s="9"/>
      <c r="B735" s="3"/>
      <c r="C735" s="10"/>
      <c r="D735" s="10"/>
      <c r="E735" s="10"/>
      <c r="F735" s="10"/>
      <c r="G735" s="3"/>
      <c r="H735" s="9"/>
      <c r="I735" s="9"/>
      <c r="J735" s="9"/>
      <c r="K735" s="10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3"/>
      <c r="AM735" s="3"/>
      <c r="AN735" s="10"/>
      <c r="AO735" s="3"/>
      <c r="AP735" s="3"/>
      <c r="AQ735" s="3"/>
      <c r="AR735" s="3"/>
      <c r="AS735" s="3"/>
      <c r="AT735" s="3"/>
      <c r="AU735" s="3"/>
      <c r="AV735" s="3"/>
    </row>
    <row r="736" spans="1:48" ht="15.4" x14ac:dyDescent="0.35">
      <c r="A736" s="9"/>
      <c r="B736" s="3"/>
      <c r="C736" s="10"/>
      <c r="D736" s="10"/>
      <c r="E736" s="10"/>
      <c r="F736" s="10"/>
      <c r="G736" s="3"/>
      <c r="H736" s="9"/>
      <c r="I736" s="9"/>
      <c r="J736" s="9"/>
      <c r="K736" s="10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3"/>
      <c r="AM736" s="3"/>
      <c r="AN736" s="10"/>
      <c r="AO736" s="3"/>
      <c r="AP736" s="3"/>
      <c r="AQ736" s="3"/>
      <c r="AR736" s="3"/>
      <c r="AS736" s="3"/>
      <c r="AT736" s="3"/>
      <c r="AU736" s="3"/>
      <c r="AV736" s="3"/>
    </row>
    <row r="737" spans="1:48" ht="15.4" x14ac:dyDescent="0.35">
      <c r="A737" s="9"/>
      <c r="B737" s="3"/>
      <c r="C737" s="10"/>
      <c r="D737" s="10"/>
      <c r="E737" s="10"/>
      <c r="F737" s="10"/>
      <c r="G737" s="3"/>
      <c r="H737" s="9"/>
      <c r="I737" s="9"/>
      <c r="J737" s="9"/>
      <c r="K737" s="10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3"/>
      <c r="AM737" s="3"/>
      <c r="AN737" s="10"/>
      <c r="AO737" s="3"/>
      <c r="AP737" s="3"/>
      <c r="AQ737" s="3"/>
      <c r="AR737" s="3"/>
      <c r="AS737" s="3"/>
      <c r="AT737" s="3"/>
      <c r="AU737" s="3"/>
      <c r="AV737" s="3"/>
    </row>
    <row r="738" spans="1:48" ht="15.4" x14ac:dyDescent="0.35">
      <c r="A738" s="9"/>
      <c r="B738" s="3"/>
      <c r="C738" s="10"/>
      <c r="D738" s="10"/>
      <c r="E738" s="10"/>
      <c r="F738" s="10"/>
      <c r="G738" s="3"/>
      <c r="H738" s="9"/>
      <c r="I738" s="9"/>
      <c r="J738" s="9"/>
      <c r="K738" s="10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3"/>
      <c r="AM738" s="3"/>
      <c r="AN738" s="10"/>
      <c r="AO738" s="3"/>
      <c r="AP738" s="3"/>
      <c r="AQ738" s="3"/>
      <c r="AR738" s="3"/>
      <c r="AS738" s="3"/>
      <c r="AT738" s="3"/>
      <c r="AU738" s="3"/>
      <c r="AV738" s="3"/>
    </row>
    <row r="739" spans="1:48" ht="15.4" x14ac:dyDescent="0.35">
      <c r="A739" s="9"/>
      <c r="B739" s="3"/>
      <c r="C739" s="10"/>
      <c r="D739" s="10"/>
      <c r="E739" s="10"/>
      <c r="F739" s="10"/>
      <c r="G739" s="3"/>
      <c r="H739" s="9"/>
      <c r="I739" s="9"/>
      <c r="J739" s="9"/>
      <c r="K739" s="10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3"/>
      <c r="AM739" s="3"/>
      <c r="AN739" s="10"/>
      <c r="AO739" s="3"/>
      <c r="AP739" s="3"/>
      <c r="AQ739" s="3"/>
      <c r="AR739" s="3"/>
      <c r="AS739" s="3"/>
      <c r="AT739" s="3"/>
      <c r="AU739" s="3"/>
      <c r="AV739" s="3"/>
    </row>
    <row r="740" spans="1:48" ht="15.4" x14ac:dyDescent="0.35">
      <c r="A740" s="9"/>
      <c r="B740" s="3"/>
      <c r="C740" s="10"/>
      <c r="D740" s="10"/>
      <c r="E740" s="10"/>
      <c r="F740" s="10"/>
      <c r="G740" s="3"/>
      <c r="H740" s="9"/>
      <c r="I740" s="9"/>
      <c r="J740" s="9"/>
      <c r="K740" s="10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3"/>
      <c r="AM740" s="3"/>
      <c r="AN740" s="10"/>
      <c r="AO740" s="3"/>
      <c r="AP740" s="3"/>
      <c r="AQ740" s="3"/>
      <c r="AR740" s="3"/>
      <c r="AS740" s="3"/>
      <c r="AT740" s="3"/>
      <c r="AU740" s="3"/>
      <c r="AV740" s="3"/>
    </row>
    <row r="741" spans="1:48" ht="15.4" x14ac:dyDescent="0.35">
      <c r="A741" s="9"/>
      <c r="B741" s="3"/>
      <c r="C741" s="10"/>
      <c r="D741" s="10"/>
      <c r="E741" s="10"/>
      <c r="F741" s="10"/>
      <c r="G741" s="3"/>
      <c r="H741" s="9"/>
      <c r="I741" s="9"/>
      <c r="J741" s="9"/>
      <c r="K741" s="10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3"/>
      <c r="AM741" s="3"/>
      <c r="AN741" s="10"/>
      <c r="AO741" s="3"/>
      <c r="AP741" s="3"/>
      <c r="AQ741" s="3"/>
      <c r="AR741" s="3"/>
      <c r="AS741" s="3"/>
      <c r="AT741" s="3"/>
      <c r="AU741" s="3"/>
      <c r="AV741" s="3"/>
    </row>
    <row r="742" spans="1:48" ht="15.4" x14ac:dyDescent="0.35">
      <c r="A742" s="9"/>
      <c r="B742" s="3"/>
      <c r="C742" s="10"/>
      <c r="D742" s="10"/>
      <c r="E742" s="10"/>
      <c r="F742" s="10"/>
      <c r="G742" s="3"/>
      <c r="H742" s="9"/>
      <c r="I742" s="9"/>
      <c r="J742" s="9"/>
      <c r="K742" s="10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3"/>
      <c r="AM742" s="3"/>
      <c r="AN742" s="10"/>
      <c r="AO742" s="3"/>
      <c r="AP742" s="3"/>
      <c r="AQ742" s="3"/>
      <c r="AR742" s="3"/>
      <c r="AS742" s="3"/>
      <c r="AT742" s="3"/>
      <c r="AU742" s="3"/>
      <c r="AV742" s="3"/>
    </row>
    <row r="743" spans="1:48" ht="15.4" x14ac:dyDescent="0.35">
      <c r="A743" s="9"/>
      <c r="B743" s="3"/>
      <c r="C743" s="10"/>
      <c r="D743" s="10"/>
      <c r="E743" s="10"/>
      <c r="F743" s="10"/>
      <c r="G743" s="3"/>
      <c r="H743" s="9"/>
      <c r="I743" s="9"/>
      <c r="J743" s="9"/>
      <c r="K743" s="10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3"/>
      <c r="AM743" s="3"/>
      <c r="AN743" s="10"/>
      <c r="AO743" s="3"/>
      <c r="AP743" s="3"/>
      <c r="AQ743" s="3"/>
      <c r="AR743" s="3"/>
      <c r="AS743" s="3"/>
      <c r="AT743" s="3"/>
      <c r="AU743" s="3"/>
      <c r="AV743" s="3"/>
    </row>
    <row r="744" spans="1:48" ht="15.4" x14ac:dyDescent="0.35">
      <c r="A744" s="9"/>
      <c r="B744" s="3"/>
      <c r="C744" s="10"/>
      <c r="D744" s="10"/>
      <c r="E744" s="10"/>
      <c r="F744" s="10"/>
      <c r="G744" s="3"/>
      <c r="H744" s="9"/>
      <c r="I744" s="9"/>
      <c r="J744" s="9"/>
      <c r="K744" s="10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3"/>
      <c r="AM744" s="3"/>
      <c r="AN744" s="10"/>
      <c r="AO744" s="3"/>
      <c r="AP744" s="3"/>
      <c r="AQ744" s="3"/>
      <c r="AR744" s="3"/>
      <c r="AS744" s="3"/>
      <c r="AT744" s="3"/>
      <c r="AU744" s="3"/>
      <c r="AV744" s="3"/>
    </row>
    <row r="745" spans="1:48" ht="15.4" x14ac:dyDescent="0.35">
      <c r="A745" s="9"/>
      <c r="B745" s="3"/>
      <c r="C745" s="10"/>
      <c r="D745" s="10"/>
      <c r="E745" s="10"/>
      <c r="F745" s="10"/>
      <c r="G745" s="3"/>
      <c r="H745" s="9"/>
      <c r="I745" s="9"/>
      <c r="J745" s="9"/>
      <c r="K745" s="10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3"/>
      <c r="AM745" s="3"/>
      <c r="AN745" s="10"/>
      <c r="AO745" s="3"/>
      <c r="AP745" s="3"/>
      <c r="AQ745" s="3"/>
      <c r="AR745" s="3"/>
      <c r="AS745" s="3"/>
      <c r="AT745" s="3"/>
      <c r="AU745" s="3"/>
      <c r="AV745" s="3"/>
    </row>
    <row r="746" spans="1:48" ht="15.4" x14ac:dyDescent="0.35">
      <c r="A746" s="9"/>
      <c r="B746" s="3"/>
      <c r="C746" s="10"/>
      <c r="D746" s="10"/>
      <c r="E746" s="10"/>
      <c r="F746" s="10"/>
      <c r="G746" s="3"/>
      <c r="H746" s="9"/>
      <c r="I746" s="9"/>
      <c r="J746" s="9"/>
      <c r="K746" s="10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3"/>
      <c r="AM746" s="3"/>
      <c r="AN746" s="10"/>
      <c r="AO746" s="3"/>
      <c r="AP746" s="3"/>
      <c r="AQ746" s="3"/>
      <c r="AR746" s="3"/>
      <c r="AS746" s="3"/>
      <c r="AT746" s="3"/>
      <c r="AU746" s="3"/>
      <c r="AV746" s="3"/>
    </row>
    <row r="747" spans="1:48" ht="15.4" x14ac:dyDescent="0.35">
      <c r="A747" s="9"/>
      <c r="B747" s="3"/>
      <c r="C747" s="10"/>
      <c r="D747" s="10"/>
      <c r="E747" s="10"/>
      <c r="F747" s="10"/>
      <c r="G747" s="3"/>
      <c r="H747" s="9"/>
      <c r="I747" s="9"/>
      <c r="J747" s="9"/>
      <c r="K747" s="10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3"/>
      <c r="AM747" s="3"/>
      <c r="AN747" s="10"/>
      <c r="AO747" s="3"/>
      <c r="AP747" s="3"/>
      <c r="AQ747" s="3"/>
      <c r="AR747" s="3"/>
      <c r="AS747" s="3"/>
      <c r="AT747" s="3"/>
      <c r="AU747" s="3"/>
      <c r="AV747" s="3"/>
    </row>
    <row r="748" spans="1:48" ht="15.4" x14ac:dyDescent="0.35">
      <c r="A748" s="9"/>
      <c r="B748" s="3"/>
      <c r="C748" s="10"/>
      <c r="D748" s="10"/>
      <c r="E748" s="10"/>
      <c r="F748" s="10"/>
      <c r="G748" s="3"/>
      <c r="H748" s="9"/>
      <c r="I748" s="9"/>
      <c r="J748" s="9"/>
      <c r="K748" s="10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3"/>
      <c r="AM748" s="3"/>
      <c r="AN748" s="10"/>
      <c r="AO748" s="3"/>
      <c r="AP748" s="3"/>
      <c r="AQ748" s="3"/>
      <c r="AR748" s="3"/>
      <c r="AS748" s="3"/>
      <c r="AT748" s="3"/>
      <c r="AU748" s="3"/>
      <c r="AV748" s="3"/>
    </row>
    <row r="749" spans="1:48" ht="15.4" x14ac:dyDescent="0.35">
      <c r="A749" s="9"/>
      <c r="B749" s="3"/>
      <c r="C749" s="10"/>
      <c r="D749" s="10"/>
      <c r="E749" s="10"/>
      <c r="F749" s="10"/>
      <c r="G749" s="3"/>
      <c r="H749" s="9"/>
      <c r="I749" s="9"/>
      <c r="J749" s="9"/>
      <c r="K749" s="10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3"/>
      <c r="AM749" s="3"/>
      <c r="AN749" s="10"/>
      <c r="AO749" s="3"/>
      <c r="AP749" s="3"/>
      <c r="AQ749" s="3"/>
      <c r="AR749" s="3"/>
      <c r="AS749" s="3"/>
      <c r="AT749" s="3"/>
      <c r="AU749" s="3"/>
      <c r="AV749" s="3"/>
    </row>
    <row r="750" spans="1:48" ht="15.4" x14ac:dyDescent="0.35">
      <c r="A750" s="9"/>
      <c r="B750" s="3"/>
      <c r="C750" s="10"/>
      <c r="D750" s="10"/>
      <c r="E750" s="10"/>
      <c r="F750" s="10"/>
      <c r="G750" s="3"/>
      <c r="H750" s="9"/>
      <c r="I750" s="9"/>
      <c r="J750" s="9"/>
      <c r="K750" s="10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3"/>
      <c r="AM750" s="3"/>
      <c r="AN750" s="10"/>
      <c r="AO750" s="3"/>
      <c r="AP750" s="3"/>
      <c r="AQ750" s="3"/>
      <c r="AR750" s="3"/>
      <c r="AS750" s="3"/>
      <c r="AT750" s="3"/>
      <c r="AU750" s="3"/>
      <c r="AV750" s="3"/>
    </row>
    <row r="751" spans="1:48" ht="15.4" x14ac:dyDescent="0.35">
      <c r="A751" s="9"/>
      <c r="B751" s="3"/>
      <c r="C751" s="10"/>
      <c r="D751" s="10"/>
      <c r="E751" s="10"/>
      <c r="F751" s="10"/>
      <c r="G751" s="3"/>
      <c r="H751" s="9"/>
      <c r="I751" s="9"/>
      <c r="J751" s="9"/>
      <c r="K751" s="10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3"/>
      <c r="AM751" s="3"/>
      <c r="AN751" s="10"/>
      <c r="AO751" s="3"/>
      <c r="AP751" s="3"/>
      <c r="AQ751" s="3"/>
      <c r="AR751" s="3"/>
      <c r="AS751" s="3"/>
      <c r="AT751" s="3"/>
      <c r="AU751" s="3"/>
      <c r="AV751" s="3"/>
    </row>
    <row r="752" spans="1:48" ht="15.4" x14ac:dyDescent="0.35">
      <c r="A752" s="9"/>
      <c r="B752" s="3"/>
      <c r="C752" s="10"/>
      <c r="D752" s="10"/>
      <c r="E752" s="10"/>
      <c r="F752" s="10"/>
      <c r="G752" s="3"/>
      <c r="H752" s="9"/>
      <c r="I752" s="9"/>
      <c r="J752" s="9"/>
      <c r="K752" s="10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3"/>
      <c r="AM752" s="3"/>
      <c r="AN752" s="10"/>
      <c r="AO752" s="3"/>
      <c r="AP752" s="3"/>
      <c r="AQ752" s="3"/>
      <c r="AR752" s="3"/>
      <c r="AS752" s="3"/>
      <c r="AT752" s="3"/>
      <c r="AU752" s="3"/>
      <c r="AV752" s="3"/>
    </row>
    <row r="753" spans="1:48" ht="15.4" x14ac:dyDescent="0.35">
      <c r="A753" s="9"/>
      <c r="B753" s="3"/>
      <c r="C753" s="10"/>
      <c r="D753" s="10"/>
      <c r="E753" s="10"/>
      <c r="F753" s="10"/>
      <c r="G753" s="3"/>
      <c r="H753" s="9"/>
      <c r="I753" s="9"/>
      <c r="J753" s="9"/>
      <c r="K753" s="10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3"/>
      <c r="AM753" s="3"/>
      <c r="AN753" s="10"/>
      <c r="AO753" s="3"/>
      <c r="AP753" s="3"/>
      <c r="AQ753" s="3"/>
      <c r="AR753" s="3"/>
      <c r="AS753" s="3"/>
      <c r="AT753" s="3"/>
      <c r="AU753" s="3"/>
      <c r="AV753" s="3"/>
    </row>
    <row r="754" spans="1:48" ht="15.4" x14ac:dyDescent="0.35">
      <c r="A754" s="9"/>
      <c r="B754" s="3"/>
      <c r="C754" s="10"/>
      <c r="D754" s="10"/>
      <c r="E754" s="10"/>
      <c r="F754" s="10"/>
      <c r="G754" s="3"/>
      <c r="H754" s="9"/>
      <c r="I754" s="9"/>
      <c r="J754" s="9"/>
      <c r="K754" s="10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3"/>
      <c r="AM754" s="3"/>
      <c r="AN754" s="10"/>
      <c r="AO754" s="3"/>
      <c r="AP754" s="3"/>
      <c r="AQ754" s="3"/>
      <c r="AR754" s="3"/>
      <c r="AS754" s="3"/>
      <c r="AT754" s="3"/>
      <c r="AU754" s="3"/>
      <c r="AV754" s="3"/>
    </row>
    <row r="755" spans="1:48" ht="15.4" x14ac:dyDescent="0.35">
      <c r="A755" s="9"/>
      <c r="B755" s="3"/>
      <c r="C755" s="10"/>
      <c r="D755" s="10"/>
      <c r="E755" s="10"/>
      <c r="F755" s="10"/>
      <c r="G755" s="3"/>
      <c r="H755" s="9"/>
      <c r="I755" s="9"/>
      <c r="J755" s="9"/>
      <c r="K755" s="10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3"/>
      <c r="AM755" s="3"/>
      <c r="AN755" s="10"/>
      <c r="AO755" s="3"/>
      <c r="AP755" s="3"/>
      <c r="AQ755" s="3"/>
      <c r="AR755" s="3"/>
      <c r="AS755" s="3"/>
      <c r="AT755" s="3"/>
      <c r="AU755" s="3"/>
      <c r="AV755" s="3"/>
    </row>
    <row r="756" spans="1:48" ht="15.4" x14ac:dyDescent="0.35">
      <c r="A756" s="9"/>
      <c r="B756" s="3"/>
      <c r="C756" s="10"/>
      <c r="D756" s="10"/>
      <c r="E756" s="10"/>
      <c r="F756" s="10"/>
      <c r="G756" s="3"/>
      <c r="H756" s="9"/>
      <c r="I756" s="9"/>
      <c r="J756" s="9"/>
      <c r="K756" s="10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3"/>
      <c r="AM756" s="3"/>
      <c r="AN756" s="10"/>
      <c r="AO756" s="3"/>
      <c r="AP756" s="3"/>
      <c r="AQ756" s="3"/>
      <c r="AR756" s="3"/>
      <c r="AS756" s="3"/>
      <c r="AT756" s="3"/>
      <c r="AU756" s="3"/>
      <c r="AV756" s="3"/>
    </row>
    <row r="757" spans="1:48" ht="15.4" x14ac:dyDescent="0.35">
      <c r="A757" s="9"/>
      <c r="B757" s="3"/>
      <c r="C757" s="10"/>
      <c r="D757" s="10"/>
      <c r="E757" s="10"/>
      <c r="F757" s="10"/>
      <c r="G757" s="3"/>
      <c r="H757" s="9"/>
      <c r="I757" s="9"/>
      <c r="J757" s="9"/>
      <c r="K757" s="10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3"/>
      <c r="AM757" s="3"/>
      <c r="AN757" s="10"/>
      <c r="AO757" s="3"/>
      <c r="AP757" s="3"/>
      <c r="AQ757" s="3"/>
      <c r="AR757" s="3"/>
      <c r="AS757" s="3"/>
      <c r="AT757" s="3"/>
      <c r="AU757" s="3"/>
      <c r="AV757" s="3"/>
    </row>
    <row r="758" spans="1:48" ht="15.4" x14ac:dyDescent="0.35">
      <c r="A758" s="9"/>
      <c r="B758" s="3"/>
      <c r="C758" s="10"/>
      <c r="D758" s="10"/>
      <c r="E758" s="10"/>
      <c r="F758" s="10"/>
      <c r="G758" s="3"/>
      <c r="H758" s="9"/>
      <c r="I758" s="9"/>
      <c r="J758" s="9"/>
      <c r="K758" s="10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3"/>
      <c r="AM758" s="3"/>
      <c r="AN758" s="10"/>
      <c r="AO758" s="3"/>
      <c r="AP758" s="3"/>
      <c r="AQ758" s="3"/>
      <c r="AR758" s="3"/>
      <c r="AS758" s="3"/>
      <c r="AT758" s="3"/>
      <c r="AU758" s="3"/>
      <c r="AV758" s="3"/>
    </row>
    <row r="759" spans="1:48" ht="15.4" x14ac:dyDescent="0.35">
      <c r="A759" s="9"/>
      <c r="B759" s="3"/>
      <c r="C759" s="10"/>
      <c r="D759" s="10"/>
      <c r="E759" s="10"/>
      <c r="F759" s="10"/>
      <c r="G759" s="3"/>
      <c r="H759" s="9"/>
      <c r="I759" s="9"/>
      <c r="J759" s="9"/>
      <c r="K759" s="10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3"/>
      <c r="AM759" s="3"/>
      <c r="AN759" s="10"/>
      <c r="AO759" s="3"/>
      <c r="AP759" s="3"/>
      <c r="AQ759" s="3"/>
      <c r="AR759" s="3"/>
      <c r="AS759" s="3"/>
      <c r="AT759" s="3"/>
      <c r="AU759" s="3"/>
      <c r="AV759" s="3"/>
    </row>
    <row r="760" spans="1:48" ht="15.4" x14ac:dyDescent="0.35">
      <c r="A760" s="9"/>
      <c r="B760" s="3"/>
      <c r="C760" s="10"/>
      <c r="D760" s="10"/>
      <c r="E760" s="10"/>
      <c r="F760" s="10"/>
      <c r="G760" s="3"/>
      <c r="H760" s="9"/>
      <c r="I760" s="9"/>
      <c r="J760" s="9"/>
      <c r="K760" s="10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3"/>
      <c r="AM760" s="3"/>
      <c r="AN760" s="10"/>
      <c r="AO760" s="3"/>
      <c r="AP760" s="3"/>
      <c r="AQ760" s="3"/>
      <c r="AR760" s="3"/>
      <c r="AS760" s="3"/>
      <c r="AT760" s="3"/>
      <c r="AU760" s="3"/>
      <c r="AV760" s="3"/>
    </row>
    <row r="761" spans="1:48" ht="15.4" x14ac:dyDescent="0.35">
      <c r="A761" s="9"/>
      <c r="B761" s="3"/>
      <c r="C761" s="10"/>
      <c r="D761" s="10"/>
      <c r="E761" s="10"/>
      <c r="F761" s="10"/>
      <c r="G761" s="3"/>
      <c r="H761" s="9"/>
      <c r="I761" s="9"/>
      <c r="J761" s="9"/>
      <c r="K761" s="10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3"/>
      <c r="AM761" s="3"/>
      <c r="AN761" s="10"/>
      <c r="AO761" s="3"/>
      <c r="AP761" s="3"/>
      <c r="AQ761" s="3"/>
      <c r="AR761" s="3"/>
      <c r="AS761" s="3"/>
      <c r="AT761" s="3"/>
      <c r="AU761" s="3"/>
      <c r="AV761" s="3"/>
    </row>
    <row r="762" spans="1:48" ht="15.4" x14ac:dyDescent="0.35">
      <c r="A762" s="9"/>
      <c r="B762" s="3"/>
      <c r="C762" s="10"/>
      <c r="D762" s="10"/>
      <c r="E762" s="10"/>
      <c r="F762" s="10"/>
      <c r="G762" s="3"/>
      <c r="H762" s="9"/>
      <c r="I762" s="9"/>
      <c r="J762" s="9"/>
      <c r="K762" s="10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3"/>
      <c r="AM762" s="3"/>
      <c r="AN762" s="10"/>
      <c r="AO762" s="3"/>
      <c r="AP762" s="3"/>
      <c r="AQ762" s="3"/>
      <c r="AR762" s="3"/>
      <c r="AS762" s="3"/>
      <c r="AT762" s="3"/>
      <c r="AU762" s="3"/>
      <c r="AV762" s="3"/>
    </row>
    <row r="763" spans="1:48" ht="15.4" x14ac:dyDescent="0.35">
      <c r="A763" s="9"/>
      <c r="B763" s="3"/>
      <c r="C763" s="10"/>
      <c r="D763" s="10"/>
      <c r="E763" s="10"/>
      <c r="F763" s="10"/>
      <c r="G763" s="3"/>
      <c r="H763" s="9"/>
      <c r="I763" s="9"/>
      <c r="J763" s="9"/>
      <c r="K763" s="10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3"/>
      <c r="AM763" s="3"/>
      <c r="AN763" s="10"/>
      <c r="AO763" s="3"/>
      <c r="AP763" s="3"/>
      <c r="AQ763" s="3"/>
      <c r="AR763" s="3"/>
      <c r="AS763" s="3"/>
      <c r="AT763" s="3"/>
      <c r="AU763" s="3"/>
      <c r="AV763" s="3"/>
    </row>
    <row r="764" spans="1:48" ht="15.4" x14ac:dyDescent="0.35">
      <c r="A764" s="9"/>
      <c r="B764" s="3"/>
      <c r="C764" s="10"/>
      <c r="D764" s="10"/>
      <c r="E764" s="10"/>
      <c r="F764" s="10"/>
      <c r="G764" s="3"/>
      <c r="H764" s="9"/>
      <c r="I764" s="9"/>
      <c r="J764" s="9"/>
      <c r="K764" s="10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3"/>
      <c r="AM764" s="3"/>
      <c r="AN764" s="10"/>
      <c r="AO764" s="3"/>
      <c r="AP764" s="3"/>
      <c r="AQ764" s="3"/>
      <c r="AR764" s="3"/>
      <c r="AS764" s="3"/>
      <c r="AT764" s="3"/>
      <c r="AU764" s="3"/>
      <c r="AV764" s="3"/>
    </row>
    <row r="765" spans="1:48" ht="15.4" x14ac:dyDescent="0.35">
      <c r="A765" s="9"/>
      <c r="B765" s="3"/>
      <c r="C765" s="10"/>
      <c r="D765" s="10"/>
      <c r="E765" s="10"/>
      <c r="F765" s="10"/>
      <c r="G765" s="3"/>
      <c r="H765" s="9"/>
      <c r="I765" s="9"/>
      <c r="J765" s="9"/>
      <c r="K765" s="10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3"/>
      <c r="AM765" s="3"/>
      <c r="AN765" s="10"/>
      <c r="AO765" s="3"/>
      <c r="AP765" s="3"/>
      <c r="AQ765" s="3"/>
      <c r="AR765" s="3"/>
      <c r="AS765" s="3"/>
      <c r="AT765" s="3"/>
      <c r="AU765" s="3"/>
      <c r="AV765" s="3"/>
    </row>
    <row r="766" spans="1:48" ht="15.4" x14ac:dyDescent="0.35">
      <c r="A766" s="9"/>
      <c r="B766" s="3"/>
      <c r="C766" s="10"/>
      <c r="D766" s="10"/>
      <c r="E766" s="10"/>
      <c r="F766" s="10"/>
      <c r="G766" s="3"/>
      <c r="H766" s="9"/>
      <c r="I766" s="9"/>
      <c r="J766" s="9"/>
      <c r="K766" s="10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3"/>
      <c r="AM766" s="3"/>
      <c r="AN766" s="10"/>
      <c r="AO766" s="3"/>
      <c r="AP766" s="3"/>
      <c r="AQ766" s="3"/>
      <c r="AR766" s="3"/>
      <c r="AS766" s="3"/>
      <c r="AT766" s="3"/>
      <c r="AU766" s="3"/>
      <c r="AV766" s="3"/>
    </row>
    <row r="767" spans="1:48" ht="15.4" x14ac:dyDescent="0.35">
      <c r="A767" s="9"/>
      <c r="B767" s="3"/>
      <c r="C767" s="10"/>
      <c r="D767" s="10"/>
      <c r="E767" s="10"/>
      <c r="F767" s="10"/>
      <c r="G767" s="3"/>
      <c r="H767" s="9"/>
      <c r="I767" s="9"/>
      <c r="J767" s="9"/>
      <c r="K767" s="10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3"/>
      <c r="AM767" s="3"/>
      <c r="AN767" s="10"/>
      <c r="AO767" s="3"/>
      <c r="AP767" s="3"/>
      <c r="AQ767" s="3"/>
      <c r="AR767" s="3"/>
      <c r="AS767" s="3"/>
      <c r="AT767" s="3"/>
      <c r="AU767" s="3"/>
      <c r="AV767" s="3"/>
    </row>
    <row r="768" spans="1:48" ht="15.4" x14ac:dyDescent="0.35">
      <c r="A768" s="9"/>
      <c r="B768" s="3"/>
      <c r="C768" s="10"/>
      <c r="D768" s="10"/>
      <c r="E768" s="10"/>
      <c r="F768" s="10"/>
      <c r="G768" s="3"/>
      <c r="H768" s="9"/>
      <c r="I768" s="9"/>
      <c r="J768" s="9"/>
      <c r="K768" s="10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3"/>
      <c r="AM768" s="3"/>
      <c r="AN768" s="10"/>
      <c r="AO768" s="3"/>
      <c r="AP768" s="3"/>
      <c r="AQ768" s="3"/>
      <c r="AR768" s="3"/>
      <c r="AS768" s="3"/>
      <c r="AT768" s="3"/>
      <c r="AU768" s="3"/>
      <c r="AV768" s="3"/>
    </row>
    <row r="769" spans="1:48" ht="15.4" x14ac:dyDescent="0.35">
      <c r="A769" s="9"/>
      <c r="B769" s="3"/>
      <c r="C769" s="10"/>
      <c r="D769" s="10"/>
      <c r="E769" s="10"/>
      <c r="F769" s="10"/>
      <c r="G769" s="3"/>
      <c r="H769" s="9"/>
      <c r="I769" s="9"/>
      <c r="J769" s="9"/>
      <c r="K769" s="10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3"/>
      <c r="AM769" s="3"/>
      <c r="AN769" s="10"/>
      <c r="AO769" s="3"/>
      <c r="AP769" s="3"/>
      <c r="AQ769" s="3"/>
      <c r="AR769" s="3"/>
      <c r="AS769" s="3"/>
      <c r="AT769" s="3"/>
      <c r="AU769" s="3"/>
      <c r="AV769" s="3"/>
    </row>
    <row r="770" spans="1:48" ht="15.4" x14ac:dyDescent="0.35">
      <c r="A770" s="9"/>
      <c r="B770" s="3"/>
      <c r="C770" s="10"/>
      <c r="D770" s="10"/>
      <c r="E770" s="10"/>
      <c r="F770" s="10"/>
      <c r="G770" s="3"/>
      <c r="H770" s="9"/>
      <c r="I770" s="9"/>
      <c r="J770" s="9"/>
      <c r="K770" s="10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3"/>
      <c r="AM770" s="3"/>
      <c r="AN770" s="10"/>
      <c r="AO770" s="3"/>
      <c r="AP770" s="3"/>
      <c r="AQ770" s="3"/>
      <c r="AR770" s="3"/>
      <c r="AS770" s="3"/>
      <c r="AT770" s="3"/>
      <c r="AU770" s="3"/>
      <c r="AV770" s="3"/>
    </row>
    <row r="771" spans="1:48" ht="15.4" x14ac:dyDescent="0.35">
      <c r="A771" s="9"/>
      <c r="B771" s="3"/>
      <c r="C771" s="10"/>
      <c r="D771" s="10"/>
      <c r="E771" s="10"/>
      <c r="F771" s="10"/>
      <c r="G771" s="3"/>
      <c r="H771" s="9"/>
      <c r="I771" s="9"/>
      <c r="J771" s="9"/>
      <c r="K771" s="10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3"/>
      <c r="AM771" s="3"/>
      <c r="AN771" s="10"/>
      <c r="AO771" s="3"/>
      <c r="AP771" s="3"/>
      <c r="AQ771" s="3"/>
      <c r="AR771" s="3"/>
      <c r="AS771" s="3"/>
      <c r="AT771" s="3"/>
      <c r="AU771" s="3"/>
      <c r="AV771" s="3"/>
    </row>
    <row r="772" spans="1:48" ht="15.4" x14ac:dyDescent="0.35">
      <c r="A772" s="9"/>
      <c r="B772" s="3"/>
      <c r="C772" s="10"/>
      <c r="D772" s="10"/>
      <c r="E772" s="10"/>
      <c r="F772" s="10"/>
      <c r="G772" s="3"/>
      <c r="H772" s="9"/>
      <c r="I772" s="9"/>
      <c r="J772" s="9"/>
      <c r="K772" s="10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3"/>
      <c r="AM772" s="3"/>
      <c r="AN772" s="10"/>
      <c r="AO772" s="3"/>
      <c r="AP772" s="3"/>
      <c r="AQ772" s="3"/>
      <c r="AR772" s="3"/>
      <c r="AS772" s="3"/>
      <c r="AT772" s="3"/>
      <c r="AU772" s="3"/>
      <c r="AV772" s="3"/>
    </row>
    <row r="773" spans="1:48" ht="15.4" x14ac:dyDescent="0.35">
      <c r="A773" s="9"/>
      <c r="B773" s="3"/>
      <c r="C773" s="10"/>
      <c r="D773" s="10"/>
      <c r="E773" s="10"/>
      <c r="F773" s="10"/>
      <c r="G773" s="3"/>
      <c r="H773" s="9"/>
      <c r="I773" s="9"/>
      <c r="J773" s="9"/>
      <c r="K773" s="10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3"/>
      <c r="AM773" s="3"/>
      <c r="AN773" s="10"/>
      <c r="AO773" s="3"/>
      <c r="AP773" s="3"/>
      <c r="AQ773" s="3"/>
      <c r="AR773" s="3"/>
      <c r="AS773" s="3"/>
      <c r="AT773" s="3"/>
      <c r="AU773" s="3"/>
      <c r="AV773" s="3"/>
    </row>
    <row r="774" spans="1:48" ht="15.4" x14ac:dyDescent="0.35">
      <c r="A774" s="9"/>
      <c r="B774" s="3"/>
      <c r="C774" s="10"/>
      <c r="D774" s="10"/>
      <c r="E774" s="10"/>
      <c r="F774" s="10"/>
      <c r="G774" s="3"/>
      <c r="H774" s="9"/>
      <c r="I774" s="9"/>
      <c r="J774" s="9"/>
      <c r="K774" s="10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3"/>
      <c r="AM774" s="3"/>
      <c r="AN774" s="10"/>
      <c r="AO774" s="3"/>
      <c r="AP774" s="3"/>
      <c r="AQ774" s="3"/>
      <c r="AR774" s="3"/>
      <c r="AS774" s="3"/>
      <c r="AT774" s="3"/>
      <c r="AU774" s="3"/>
      <c r="AV774" s="3"/>
    </row>
    <row r="775" spans="1:48" ht="15.4" x14ac:dyDescent="0.35">
      <c r="A775" s="9"/>
      <c r="B775" s="3"/>
      <c r="C775" s="10"/>
      <c r="D775" s="10"/>
      <c r="E775" s="10"/>
      <c r="F775" s="10"/>
      <c r="G775" s="3"/>
      <c r="H775" s="9"/>
      <c r="I775" s="9"/>
      <c r="J775" s="9"/>
      <c r="K775" s="10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3"/>
      <c r="AM775" s="3"/>
      <c r="AN775" s="10"/>
      <c r="AO775" s="3"/>
      <c r="AP775" s="3"/>
      <c r="AQ775" s="3"/>
      <c r="AR775" s="3"/>
      <c r="AS775" s="3"/>
      <c r="AT775" s="3"/>
      <c r="AU775" s="3"/>
      <c r="AV775" s="3"/>
    </row>
    <row r="776" spans="1:48" ht="15.4" x14ac:dyDescent="0.35">
      <c r="A776" s="9"/>
      <c r="B776" s="3"/>
      <c r="C776" s="10"/>
      <c r="D776" s="10"/>
      <c r="E776" s="10"/>
      <c r="F776" s="10"/>
      <c r="G776" s="3"/>
      <c r="H776" s="9"/>
      <c r="I776" s="9"/>
      <c r="J776" s="9"/>
      <c r="K776" s="10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3"/>
      <c r="AM776" s="3"/>
      <c r="AN776" s="10"/>
      <c r="AO776" s="3"/>
      <c r="AP776" s="3"/>
      <c r="AQ776" s="3"/>
      <c r="AR776" s="3"/>
      <c r="AS776" s="3"/>
      <c r="AT776" s="3"/>
      <c r="AU776" s="3"/>
      <c r="AV776" s="3"/>
    </row>
    <row r="777" spans="1:48" ht="15.4" x14ac:dyDescent="0.35">
      <c r="A777" s="9"/>
      <c r="B777" s="3"/>
      <c r="C777" s="10"/>
      <c r="D777" s="10"/>
      <c r="E777" s="10"/>
      <c r="F777" s="10"/>
      <c r="G777" s="3"/>
      <c r="H777" s="9"/>
      <c r="I777" s="9"/>
      <c r="J777" s="9"/>
      <c r="K777" s="10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3"/>
      <c r="AM777" s="3"/>
      <c r="AN777" s="10"/>
      <c r="AO777" s="3"/>
      <c r="AP777" s="3"/>
      <c r="AQ777" s="3"/>
      <c r="AR777" s="3"/>
      <c r="AS777" s="3"/>
      <c r="AT777" s="3"/>
      <c r="AU777" s="3"/>
      <c r="AV777" s="3"/>
    </row>
    <row r="778" spans="1:48" ht="15.4" x14ac:dyDescent="0.35">
      <c r="A778" s="9"/>
      <c r="B778" s="3"/>
      <c r="C778" s="10"/>
      <c r="D778" s="10"/>
      <c r="E778" s="10"/>
      <c r="F778" s="10"/>
      <c r="G778" s="3"/>
      <c r="H778" s="9"/>
      <c r="I778" s="9"/>
      <c r="J778" s="9"/>
      <c r="K778" s="10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3"/>
      <c r="AM778" s="3"/>
      <c r="AN778" s="10"/>
      <c r="AO778" s="3"/>
      <c r="AP778" s="3"/>
      <c r="AQ778" s="3"/>
      <c r="AR778" s="3"/>
      <c r="AS778" s="3"/>
      <c r="AT778" s="3"/>
      <c r="AU778" s="3"/>
      <c r="AV778" s="3"/>
    </row>
    <row r="779" spans="1:48" ht="15.4" x14ac:dyDescent="0.35">
      <c r="A779" s="9"/>
      <c r="B779" s="3"/>
      <c r="C779" s="10"/>
      <c r="D779" s="10"/>
      <c r="E779" s="10"/>
      <c r="F779" s="10"/>
      <c r="G779" s="3"/>
      <c r="H779" s="9"/>
      <c r="I779" s="9"/>
      <c r="J779" s="9"/>
      <c r="K779" s="10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3"/>
      <c r="AM779" s="3"/>
      <c r="AN779" s="10"/>
      <c r="AO779" s="3"/>
      <c r="AP779" s="3"/>
      <c r="AQ779" s="3"/>
      <c r="AR779" s="3"/>
      <c r="AS779" s="3"/>
      <c r="AT779" s="3"/>
      <c r="AU779" s="3"/>
      <c r="AV779" s="3"/>
    </row>
    <row r="780" spans="1:48" ht="15.4" x14ac:dyDescent="0.35">
      <c r="A780" s="9"/>
      <c r="B780" s="3"/>
      <c r="C780" s="10"/>
      <c r="D780" s="10"/>
      <c r="E780" s="10"/>
      <c r="F780" s="10"/>
      <c r="G780" s="3"/>
      <c r="H780" s="9"/>
      <c r="I780" s="9"/>
      <c r="J780" s="9"/>
      <c r="K780" s="10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3"/>
      <c r="AM780" s="3"/>
      <c r="AN780" s="10"/>
      <c r="AO780" s="3"/>
      <c r="AP780" s="3"/>
      <c r="AQ780" s="3"/>
      <c r="AR780" s="3"/>
      <c r="AS780" s="3"/>
      <c r="AT780" s="3"/>
      <c r="AU780" s="3"/>
      <c r="AV780" s="3"/>
    </row>
    <row r="781" spans="1:48" ht="15.4" x14ac:dyDescent="0.35">
      <c r="A781" s="9"/>
      <c r="B781" s="3"/>
      <c r="C781" s="10"/>
      <c r="D781" s="10"/>
      <c r="E781" s="10"/>
      <c r="F781" s="10"/>
      <c r="G781" s="3"/>
      <c r="H781" s="9"/>
      <c r="I781" s="9"/>
      <c r="J781" s="9"/>
      <c r="K781" s="10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3"/>
      <c r="AM781" s="3"/>
      <c r="AN781" s="10"/>
      <c r="AO781" s="3"/>
      <c r="AP781" s="3"/>
      <c r="AQ781" s="3"/>
      <c r="AR781" s="3"/>
      <c r="AS781" s="3"/>
      <c r="AT781" s="3"/>
      <c r="AU781" s="3"/>
      <c r="AV781" s="3"/>
    </row>
    <row r="782" spans="1:48" ht="15.4" x14ac:dyDescent="0.35">
      <c r="A782" s="9"/>
      <c r="B782" s="3"/>
      <c r="C782" s="10"/>
      <c r="D782" s="10"/>
      <c r="E782" s="10"/>
      <c r="F782" s="10"/>
      <c r="G782" s="3"/>
      <c r="H782" s="9"/>
      <c r="I782" s="9"/>
      <c r="J782" s="9"/>
      <c r="K782" s="10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3"/>
      <c r="AM782" s="3"/>
      <c r="AN782" s="10"/>
      <c r="AO782" s="3"/>
      <c r="AP782" s="3"/>
      <c r="AQ782" s="3"/>
      <c r="AR782" s="3"/>
      <c r="AS782" s="3"/>
      <c r="AT782" s="3"/>
      <c r="AU782" s="3"/>
      <c r="AV782" s="3"/>
    </row>
    <row r="783" spans="1:48" ht="15.4" x14ac:dyDescent="0.35">
      <c r="A783" s="9"/>
      <c r="B783" s="3"/>
      <c r="C783" s="10"/>
      <c r="D783" s="10"/>
      <c r="E783" s="10"/>
      <c r="F783" s="10"/>
      <c r="G783" s="3"/>
      <c r="H783" s="9"/>
      <c r="I783" s="9"/>
      <c r="J783" s="9"/>
      <c r="K783" s="10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3"/>
      <c r="AM783" s="3"/>
      <c r="AN783" s="10"/>
      <c r="AO783" s="3"/>
      <c r="AP783" s="3"/>
      <c r="AQ783" s="3"/>
      <c r="AR783" s="3"/>
      <c r="AS783" s="3"/>
      <c r="AT783" s="3"/>
      <c r="AU783" s="3"/>
      <c r="AV783" s="3"/>
    </row>
    <row r="784" spans="1:48" ht="15.4" x14ac:dyDescent="0.35">
      <c r="A784" s="9"/>
      <c r="B784" s="3"/>
      <c r="C784" s="10"/>
      <c r="D784" s="10"/>
      <c r="E784" s="10"/>
      <c r="F784" s="10"/>
      <c r="G784" s="3"/>
      <c r="H784" s="9"/>
      <c r="I784" s="9"/>
      <c r="J784" s="9"/>
      <c r="K784" s="10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3"/>
      <c r="AM784" s="3"/>
      <c r="AN784" s="10"/>
      <c r="AO784" s="3"/>
      <c r="AP784" s="3"/>
      <c r="AQ784" s="3"/>
      <c r="AR784" s="3"/>
      <c r="AS784" s="3"/>
      <c r="AT784" s="3"/>
      <c r="AU784" s="3"/>
      <c r="AV784" s="3"/>
    </row>
    <row r="785" spans="1:48" ht="15.4" x14ac:dyDescent="0.35">
      <c r="A785" s="9"/>
      <c r="B785" s="3"/>
      <c r="C785" s="10"/>
      <c r="D785" s="10"/>
      <c r="E785" s="10"/>
      <c r="F785" s="10"/>
      <c r="G785" s="3"/>
      <c r="H785" s="9"/>
      <c r="I785" s="9"/>
      <c r="J785" s="9"/>
      <c r="K785" s="10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3"/>
      <c r="AM785" s="3"/>
      <c r="AN785" s="10"/>
      <c r="AO785" s="3"/>
      <c r="AP785" s="3"/>
      <c r="AQ785" s="3"/>
      <c r="AR785" s="3"/>
      <c r="AS785" s="3"/>
      <c r="AT785" s="3"/>
      <c r="AU785" s="3"/>
      <c r="AV785" s="3"/>
    </row>
    <row r="786" spans="1:48" ht="15.4" x14ac:dyDescent="0.35">
      <c r="A786" s="9"/>
      <c r="B786" s="3"/>
      <c r="C786" s="10"/>
      <c r="D786" s="10"/>
      <c r="E786" s="10"/>
      <c r="F786" s="10"/>
      <c r="G786" s="3"/>
      <c r="H786" s="9"/>
      <c r="I786" s="9"/>
      <c r="J786" s="9"/>
      <c r="K786" s="10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3"/>
      <c r="AM786" s="3"/>
      <c r="AN786" s="10"/>
      <c r="AO786" s="3"/>
      <c r="AP786" s="3"/>
      <c r="AQ786" s="3"/>
      <c r="AR786" s="3"/>
      <c r="AS786" s="3"/>
      <c r="AT786" s="3"/>
      <c r="AU786" s="3"/>
      <c r="AV786" s="3"/>
    </row>
    <row r="787" spans="1:48" ht="15.4" x14ac:dyDescent="0.35">
      <c r="A787" s="9"/>
      <c r="B787" s="3"/>
      <c r="C787" s="10"/>
      <c r="D787" s="10"/>
      <c r="E787" s="10"/>
      <c r="F787" s="10"/>
      <c r="G787" s="3"/>
      <c r="H787" s="9"/>
      <c r="I787" s="9"/>
      <c r="J787" s="9"/>
      <c r="K787" s="10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3"/>
      <c r="AM787" s="3"/>
      <c r="AN787" s="10"/>
      <c r="AO787" s="3"/>
      <c r="AP787" s="3"/>
      <c r="AQ787" s="3"/>
      <c r="AR787" s="3"/>
      <c r="AS787" s="3"/>
      <c r="AT787" s="3"/>
      <c r="AU787" s="3"/>
      <c r="AV787" s="3"/>
    </row>
    <row r="788" spans="1:48" ht="15.4" x14ac:dyDescent="0.35">
      <c r="A788" s="9"/>
      <c r="B788" s="3"/>
      <c r="C788" s="10"/>
      <c r="D788" s="10"/>
      <c r="E788" s="10"/>
      <c r="F788" s="10"/>
      <c r="G788" s="3"/>
      <c r="H788" s="9"/>
      <c r="I788" s="9"/>
      <c r="J788" s="9"/>
      <c r="K788" s="10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3"/>
      <c r="AM788" s="3"/>
      <c r="AN788" s="10"/>
      <c r="AO788" s="3"/>
      <c r="AP788" s="3"/>
      <c r="AQ788" s="3"/>
      <c r="AR788" s="3"/>
      <c r="AS788" s="3"/>
      <c r="AT788" s="3"/>
      <c r="AU788" s="3"/>
      <c r="AV788" s="3"/>
    </row>
    <row r="789" spans="1:48" ht="15.4" x14ac:dyDescent="0.35">
      <c r="A789" s="9"/>
      <c r="B789" s="3"/>
      <c r="C789" s="10"/>
      <c r="D789" s="10"/>
      <c r="E789" s="10"/>
      <c r="F789" s="10"/>
      <c r="G789" s="3"/>
      <c r="H789" s="9"/>
      <c r="I789" s="9"/>
      <c r="J789" s="9"/>
      <c r="K789" s="10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3"/>
      <c r="AM789" s="3"/>
      <c r="AN789" s="10"/>
      <c r="AO789" s="3"/>
      <c r="AP789" s="3"/>
      <c r="AQ789" s="3"/>
      <c r="AR789" s="3"/>
      <c r="AS789" s="3"/>
      <c r="AT789" s="3"/>
      <c r="AU789" s="3"/>
      <c r="AV789" s="3"/>
    </row>
    <row r="790" spans="1:48" ht="15.4" x14ac:dyDescent="0.35">
      <c r="A790" s="9"/>
      <c r="B790" s="3"/>
      <c r="C790" s="10"/>
      <c r="D790" s="10"/>
      <c r="E790" s="10"/>
      <c r="F790" s="10"/>
      <c r="G790" s="3"/>
      <c r="H790" s="9"/>
      <c r="I790" s="9"/>
      <c r="J790" s="9"/>
      <c r="K790" s="10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3"/>
      <c r="AM790" s="3"/>
      <c r="AN790" s="10"/>
      <c r="AO790" s="3"/>
      <c r="AP790" s="3"/>
      <c r="AQ790" s="3"/>
      <c r="AR790" s="3"/>
      <c r="AS790" s="3"/>
      <c r="AT790" s="3"/>
      <c r="AU790" s="3"/>
      <c r="AV790" s="3"/>
    </row>
    <row r="791" spans="1:48" ht="15.4" x14ac:dyDescent="0.35">
      <c r="A791" s="9"/>
      <c r="B791" s="3"/>
      <c r="C791" s="10"/>
      <c r="D791" s="10"/>
      <c r="E791" s="10"/>
      <c r="F791" s="10"/>
      <c r="G791" s="3"/>
      <c r="H791" s="9"/>
      <c r="I791" s="9"/>
      <c r="J791" s="9"/>
      <c r="K791" s="10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3"/>
      <c r="AM791" s="3"/>
      <c r="AN791" s="10"/>
      <c r="AO791" s="3"/>
      <c r="AP791" s="3"/>
      <c r="AQ791" s="3"/>
      <c r="AR791" s="3"/>
      <c r="AS791" s="3"/>
      <c r="AT791" s="3"/>
      <c r="AU791" s="3"/>
      <c r="AV791" s="3"/>
    </row>
    <row r="792" spans="1:48" ht="15.4" x14ac:dyDescent="0.35">
      <c r="A792" s="9"/>
      <c r="B792" s="3"/>
      <c r="C792" s="10"/>
      <c r="D792" s="10"/>
      <c r="E792" s="10"/>
      <c r="F792" s="10"/>
      <c r="G792" s="3"/>
      <c r="H792" s="9"/>
      <c r="I792" s="9"/>
      <c r="J792" s="9"/>
      <c r="K792" s="10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3"/>
      <c r="AM792" s="3"/>
      <c r="AN792" s="10"/>
      <c r="AO792" s="3"/>
      <c r="AP792" s="3"/>
      <c r="AQ792" s="3"/>
      <c r="AR792" s="3"/>
      <c r="AS792" s="3"/>
      <c r="AT792" s="3"/>
      <c r="AU792" s="3"/>
      <c r="AV792" s="3"/>
    </row>
    <row r="793" spans="1:48" ht="15.4" x14ac:dyDescent="0.35">
      <c r="A793" s="9"/>
      <c r="B793" s="3"/>
      <c r="C793" s="10"/>
      <c r="D793" s="10"/>
      <c r="E793" s="10"/>
      <c r="F793" s="10"/>
      <c r="G793" s="3"/>
      <c r="H793" s="9"/>
      <c r="I793" s="9"/>
      <c r="J793" s="9"/>
      <c r="K793" s="10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3"/>
      <c r="AM793" s="3"/>
      <c r="AN793" s="10"/>
      <c r="AO793" s="3"/>
      <c r="AP793" s="3"/>
      <c r="AQ793" s="3"/>
      <c r="AR793" s="3"/>
      <c r="AS793" s="3"/>
      <c r="AT793" s="3"/>
      <c r="AU793" s="3"/>
      <c r="AV793" s="3"/>
    </row>
    <row r="794" spans="1:48" ht="15.4" x14ac:dyDescent="0.35">
      <c r="A794" s="9"/>
      <c r="B794" s="3"/>
      <c r="C794" s="10"/>
      <c r="D794" s="10"/>
      <c r="E794" s="10"/>
      <c r="F794" s="10"/>
      <c r="G794" s="3"/>
      <c r="H794" s="9"/>
      <c r="I794" s="9"/>
      <c r="J794" s="9"/>
      <c r="K794" s="10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3"/>
      <c r="AM794" s="3"/>
      <c r="AN794" s="10"/>
      <c r="AO794" s="3"/>
      <c r="AP794" s="3"/>
      <c r="AQ794" s="3"/>
      <c r="AR794" s="3"/>
      <c r="AS794" s="3"/>
      <c r="AT794" s="3"/>
      <c r="AU794" s="3"/>
      <c r="AV794" s="3"/>
    </row>
    <row r="795" spans="1:48" ht="15.4" x14ac:dyDescent="0.35">
      <c r="A795" s="9"/>
      <c r="B795" s="3"/>
      <c r="C795" s="10"/>
      <c r="D795" s="10"/>
      <c r="E795" s="10"/>
      <c r="F795" s="10"/>
      <c r="G795" s="3"/>
      <c r="H795" s="9"/>
      <c r="I795" s="9"/>
      <c r="J795" s="9"/>
      <c r="K795" s="10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3"/>
      <c r="AM795" s="3"/>
      <c r="AN795" s="10"/>
      <c r="AO795" s="3"/>
      <c r="AP795" s="3"/>
      <c r="AQ795" s="3"/>
      <c r="AR795" s="3"/>
      <c r="AS795" s="3"/>
      <c r="AT795" s="3"/>
      <c r="AU795" s="3"/>
      <c r="AV795" s="3"/>
    </row>
    <row r="796" spans="1:48" ht="15.4" x14ac:dyDescent="0.35">
      <c r="A796" s="9"/>
      <c r="B796" s="3"/>
      <c r="C796" s="10"/>
      <c r="D796" s="10"/>
      <c r="E796" s="10"/>
      <c r="F796" s="10"/>
      <c r="G796" s="3"/>
      <c r="H796" s="9"/>
      <c r="I796" s="9"/>
      <c r="J796" s="9"/>
      <c r="K796" s="10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3"/>
      <c r="AM796" s="3"/>
      <c r="AN796" s="10"/>
      <c r="AO796" s="3"/>
      <c r="AP796" s="3"/>
      <c r="AQ796" s="3"/>
      <c r="AR796" s="3"/>
      <c r="AS796" s="3"/>
      <c r="AT796" s="3"/>
      <c r="AU796" s="3"/>
      <c r="AV796" s="3"/>
    </row>
    <row r="797" spans="1:48" ht="15.4" x14ac:dyDescent="0.35">
      <c r="A797" s="9"/>
      <c r="B797" s="3"/>
      <c r="C797" s="10"/>
      <c r="D797" s="10"/>
      <c r="E797" s="10"/>
      <c r="F797" s="10"/>
      <c r="G797" s="3"/>
      <c r="H797" s="9"/>
      <c r="I797" s="9"/>
      <c r="J797" s="9"/>
      <c r="K797" s="10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3"/>
      <c r="AM797" s="3"/>
      <c r="AN797" s="10"/>
      <c r="AO797" s="3"/>
      <c r="AP797" s="3"/>
      <c r="AQ797" s="3"/>
      <c r="AR797" s="3"/>
      <c r="AS797" s="3"/>
      <c r="AT797" s="3"/>
      <c r="AU797" s="3"/>
      <c r="AV797" s="3"/>
    </row>
    <row r="798" spans="1:48" ht="15.4" x14ac:dyDescent="0.35">
      <c r="A798" s="9"/>
      <c r="B798" s="3"/>
      <c r="C798" s="10"/>
      <c r="D798" s="10"/>
      <c r="E798" s="10"/>
      <c r="F798" s="10"/>
      <c r="G798" s="3"/>
      <c r="H798" s="9"/>
      <c r="I798" s="9"/>
      <c r="J798" s="9"/>
      <c r="K798" s="10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3"/>
      <c r="AM798" s="3"/>
      <c r="AN798" s="10"/>
      <c r="AO798" s="3"/>
      <c r="AP798" s="3"/>
      <c r="AQ798" s="3"/>
      <c r="AR798" s="3"/>
      <c r="AS798" s="3"/>
      <c r="AT798" s="3"/>
      <c r="AU798" s="3"/>
      <c r="AV798" s="3"/>
    </row>
    <row r="799" spans="1:48" ht="15.4" x14ac:dyDescent="0.35">
      <c r="A799" s="9"/>
      <c r="B799" s="3"/>
      <c r="C799" s="10"/>
      <c r="D799" s="10"/>
      <c r="E799" s="10"/>
      <c r="F799" s="10"/>
      <c r="G799" s="3"/>
      <c r="H799" s="9"/>
      <c r="I799" s="9"/>
      <c r="J799" s="9"/>
      <c r="K799" s="10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3"/>
      <c r="AM799" s="3"/>
      <c r="AN799" s="10"/>
      <c r="AO799" s="3"/>
      <c r="AP799" s="3"/>
      <c r="AQ799" s="3"/>
      <c r="AR799" s="3"/>
      <c r="AS799" s="3"/>
      <c r="AT799" s="3"/>
      <c r="AU799" s="3"/>
      <c r="AV799" s="3"/>
    </row>
    <row r="800" spans="1:48" ht="15.4" x14ac:dyDescent="0.35">
      <c r="A800" s="9"/>
      <c r="B800" s="3"/>
      <c r="C800" s="10"/>
      <c r="D800" s="10"/>
      <c r="E800" s="10"/>
      <c r="F800" s="10"/>
      <c r="G800" s="3"/>
      <c r="H800" s="9"/>
      <c r="I800" s="9"/>
      <c r="J800" s="9"/>
      <c r="K800" s="10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3"/>
      <c r="AM800" s="3"/>
      <c r="AN800" s="10"/>
      <c r="AO800" s="3"/>
      <c r="AP800" s="3"/>
      <c r="AQ800" s="3"/>
      <c r="AR800" s="3"/>
      <c r="AS800" s="3"/>
      <c r="AT800" s="3"/>
      <c r="AU800" s="3"/>
      <c r="AV800" s="3"/>
    </row>
    <row r="801" spans="1:48" ht="15.4" x14ac:dyDescent="0.35">
      <c r="A801" s="9"/>
      <c r="B801" s="3"/>
      <c r="C801" s="10"/>
      <c r="D801" s="10"/>
      <c r="E801" s="10"/>
      <c r="F801" s="10"/>
      <c r="G801" s="3"/>
      <c r="H801" s="9"/>
      <c r="I801" s="9"/>
      <c r="J801" s="9"/>
      <c r="K801" s="10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3"/>
      <c r="AM801" s="3"/>
      <c r="AN801" s="10"/>
      <c r="AO801" s="3"/>
      <c r="AP801" s="3"/>
      <c r="AQ801" s="3"/>
      <c r="AR801" s="3"/>
      <c r="AS801" s="3"/>
      <c r="AT801" s="3"/>
      <c r="AU801" s="3"/>
      <c r="AV801" s="3"/>
    </row>
    <row r="802" spans="1:48" ht="15.4" x14ac:dyDescent="0.35">
      <c r="A802" s="9"/>
      <c r="B802" s="3"/>
      <c r="C802" s="10"/>
      <c r="D802" s="10"/>
      <c r="E802" s="10"/>
      <c r="F802" s="10"/>
      <c r="G802" s="3"/>
      <c r="H802" s="9"/>
      <c r="I802" s="9"/>
      <c r="J802" s="9"/>
      <c r="K802" s="10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3"/>
      <c r="AM802" s="3"/>
      <c r="AN802" s="10"/>
      <c r="AO802" s="3"/>
      <c r="AP802" s="3"/>
      <c r="AQ802" s="3"/>
      <c r="AR802" s="3"/>
      <c r="AS802" s="3"/>
      <c r="AT802" s="3"/>
      <c r="AU802" s="3"/>
      <c r="AV802" s="3"/>
    </row>
    <row r="803" spans="1:48" ht="15.4" x14ac:dyDescent="0.35">
      <c r="A803" s="9"/>
      <c r="B803" s="3"/>
      <c r="C803" s="10"/>
      <c r="D803" s="10"/>
      <c r="E803" s="10"/>
      <c r="F803" s="10"/>
      <c r="G803" s="3"/>
      <c r="H803" s="9"/>
      <c r="I803" s="9"/>
      <c r="J803" s="9"/>
      <c r="K803" s="10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3"/>
      <c r="AM803" s="3"/>
      <c r="AN803" s="10"/>
      <c r="AO803" s="3"/>
      <c r="AP803" s="3"/>
      <c r="AQ803" s="3"/>
      <c r="AR803" s="3"/>
      <c r="AS803" s="3"/>
      <c r="AT803" s="3"/>
      <c r="AU803" s="3"/>
      <c r="AV803" s="3"/>
    </row>
    <row r="804" spans="1:48" ht="15.4" x14ac:dyDescent="0.35">
      <c r="A804" s="9"/>
      <c r="B804" s="3"/>
      <c r="C804" s="10"/>
      <c r="D804" s="10"/>
      <c r="E804" s="10"/>
      <c r="F804" s="10"/>
      <c r="G804" s="3"/>
      <c r="H804" s="9"/>
      <c r="I804" s="9"/>
      <c r="J804" s="9"/>
      <c r="K804" s="10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3"/>
      <c r="AM804" s="3"/>
      <c r="AN804" s="10"/>
      <c r="AO804" s="3"/>
      <c r="AP804" s="3"/>
      <c r="AQ804" s="3"/>
      <c r="AR804" s="3"/>
      <c r="AS804" s="3"/>
      <c r="AT804" s="3"/>
      <c r="AU804" s="3"/>
      <c r="AV804" s="3"/>
    </row>
    <row r="805" spans="1:48" ht="15.4" x14ac:dyDescent="0.35">
      <c r="A805" s="9"/>
      <c r="B805" s="3"/>
      <c r="C805" s="10"/>
      <c r="D805" s="10"/>
      <c r="E805" s="10"/>
      <c r="F805" s="10"/>
      <c r="G805" s="3"/>
      <c r="H805" s="9"/>
      <c r="I805" s="9"/>
      <c r="J805" s="9"/>
      <c r="K805" s="10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3"/>
      <c r="AM805" s="3"/>
      <c r="AN805" s="10"/>
      <c r="AO805" s="3"/>
      <c r="AP805" s="3"/>
      <c r="AQ805" s="3"/>
      <c r="AR805" s="3"/>
      <c r="AS805" s="3"/>
      <c r="AT805" s="3"/>
      <c r="AU805" s="3"/>
      <c r="AV805" s="3"/>
    </row>
    <row r="806" spans="1:48" ht="15.4" x14ac:dyDescent="0.35">
      <c r="A806" s="9"/>
      <c r="B806" s="3"/>
      <c r="C806" s="10"/>
      <c r="D806" s="10"/>
      <c r="E806" s="10"/>
      <c r="F806" s="10"/>
      <c r="G806" s="3"/>
      <c r="H806" s="9"/>
      <c r="I806" s="9"/>
      <c r="J806" s="9"/>
      <c r="K806" s="10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3"/>
      <c r="AM806" s="3"/>
      <c r="AN806" s="10"/>
      <c r="AO806" s="3"/>
      <c r="AP806" s="3"/>
      <c r="AQ806" s="3"/>
      <c r="AR806" s="3"/>
      <c r="AS806" s="3"/>
      <c r="AT806" s="3"/>
      <c r="AU806" s="3"/>
      <c r="AV806" s="3"/>
    </row>
    <row r="807" spans="1:48" ht="15.4" x14ac:dyDescent="0.35">
      <c r="A807" s="9"/>
      <c r="B807" s="3"/>
      <c r="C807" s="10"/>
      <c r="D807" s="10"/>
      <c r="E807" s="10"/>
      <c r="F807" s="10"/>
      <c r="G807" s="3"/>
      <c r="H807" s="9"/>
      <c r="I807" s="9"/>
      <c r="J807" s="9"/>
      <c r="K807" s="10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3"/>
      <c r="AM807" s="3"/>
      <c r="AN807" s="10"/>
      <c r="AO807" s="3"/>
      <c r="AP807" s="3"/>
      <c r="AQ807" s="3"/>
      <c r="AR807" s="3"/>
      <c r="AS807" s="3"/>
      <c r="AT807" s="3"/>
      <c r="AU807" s="3"/>
      <c r="AV807" s="3"/>
    </row>
    <row r="808" spans="1:48" ht="15.4" x14ac:dyDescent="0.35">
      <c r="A808" s="9"/>
      <c r="B808" s="3"/>
      <c r="C808" s="10"/>
      <c r="D808" s="10"/>
      <c r="E808" s="10"/>
      <c r="F808" s="10"/>
      <c r="G808" s="3"/>
      <c r="H808" s="9"/>
      <c r="I808" s="9"/>
      <c r="J808" s="9"/>
      <c r="K808" s="10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3"/>
      <c r="AM808" s="3"/>
      <c r="AN808" s="10"/>
      <c r="AO808" s="3"/>
      <c r="AP808" s="3"/>
      <c r="AQ808" s="3"/>
      <c r="AR808" s="3"/>
      <c r="AS808" s="3"/>
      <c r="AT808" s="3"/>
      <c r="AU808" s="3"/>
      <c r="AV808" s="3"/>
    </row>
    <row r="809" spans="1:48" ht="15.4" x14ac:dyDescent="0.35">
      <c r="A809" s="9"/>
      <c r="B809" s="3"/>
      <c r="C809" s="10"/>
      <c r="D809" s="10"/>
      <c r="E809" s="10"/>
      <c r="F809" s="10"/>
      <c r="G809" s="3"/>
      <c r="H809" s="9"/>
      <c r="I809" s="9"/>
      <c r="J809" s="9"/>
      <c r="K809" s="10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3"/>
      <c r="AM809" s="3"/>
      <c r="AN809" s="10"/>
      <c r="AO809" s="3"/>
      <c r="AP809" s="3"/>
      <c r="AQ809" s="3"/>
      <c r="AR809" s="3"/>
      <c r="AS809" s="3"/>
      <c r="AT809" s="3"/>
      <c r="AU809" s="3"/>
      <c r="AV809" s="3"/>
    </row>
    <row r="810" spans="1:48" ht="15.4" x14ac:dyDescent="0.35">
      <c r="A810" s="9"/>
      <c r="B810" s="3"/>
      <c r="C810" s="10"/>
      <c r="D810" s="10"/>
      <c r="E810" s="10"/>
      <c r="F810" s="10"/>
      <c r="G810" s="3"/>
      <c r="H810" s="9"/>
      <c r="I810" s="9"/>
      <c r="J810" s="9"/>
      <c r="K810" s="10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3"/>
      <c r="AM810" s="3"/>
      <c r="AN810" s="10"/>
      <c r="AO810" s="3"/>
      <c r="AP810" s="3"/>
      <c r="AQ810" s="3"/>
      <c r="AR810" s="3"/>
      <c r="AS810" s="3"/>
      <c r="AT810" s="3"/>
      <c r="AU810" s="3"/>
      <c r="AV810" s="3"/>
    </row>
    <row r="811" spans="1:48" ht="15.4" x14ac:dyDescent="0.35">
      <c r="A811" s="9"/>
      <c r="B811" s="3"/>
      <c r="C811" s="10"/>
      <c r="D811" s="10"/>
      <c r="E811" s="10"/>
      <c r="F811" s="10"/>
      <c r="G811" s="3"/>
      <c r="H811" s="9"/>
      <c r="I811" s="9"/>
      <c r="J811" s="9"/>
      <c r="K811" s="10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3"/>
      <c r="AM811" s="3"/>
      <c r="AN811" s="10"/>
      <c r="AO811" s="3"/>
      <c r="AP811" s="3"/>
      <c r="AQ811" s="3"/>
      <c r="AR811" s="3"/>
      <c r="AS811" s="3"/>
      <c r="AT811" s="3"/>
      <c r="AU811" s="3"/>
      <c r="AV811" s="3"/>
    </row>
    <row r="812" spans="1:48" ht="15.4" x14ac:dyDescent="0.35">
      <c r="A812" s="9"/>
      <c r="B812" s="3"/>
      <c r="C812" s="10"/>
      <c r="D812" s="10"/>
      <c r="E812" s="10"/>
      <c r="F812" s="10"/>
      <c r="G812" s="3"/>
      <c r="H812" s="9"/>
      <c r="I812" s="9"/>
      <c r="J812" s="9"/>
      <c r="K812" s="10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3"/>
      <c r="AM812" s="3"/>
      <c r="AN812" s="10"/>
      <c r="AO812" s="3"/>
      <c r="AP812" s="3"/>
      <c r="AQ812" s="3"/>
      <c r="AR812" s="3"/>
      <c r="AS812" s="3"/>
      <c r="AT812" s="3"/>
      <c r="AU812" s="3"/>
      <c r="AV812" s="3"/>
    </row>
    <row r="813" spans="1:48" ht="15.4" x14ac:dyDescent="0.35">
      <c r="A813" s="9"/>
      <c r="B813" s="3"/>
      <c r="C813" s="10"/>
      <c r="D813" s="10"/>
      <c r="E813" s="10"/>
      <c r="F813" s="10"/>
      <c r="G813" s="3"/>
      <c r="H813" s="9"/>
      <c r="I813" s="9"/>
      <c r="J813" s="9"/>
      <c r="K813" s="10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3"/>
      <c r="AM813" s="3"/>
      <c r="AN813" s="10"/>
      <c r="AO813" s="3"/>
      <c r="AP813" s="3"/>
      <c r="AQ813" s="3"/>
      <c r="AR813" s="3"/>
      <c r="AS813" s="3"/>
      <c r="AT813" s="3"/>
      <c r="AU813" s="3"/>
      <c r="AV813" s="3"/>
    </row>
    <row r="814" spans="1:48" ht="15.4" x14ac:dyDescent="0.35">
      <c r="A814" s="9"/>
      <c r="B814" s="3"/>
      <c r="C814" s="10"/>
      <c r="D814" s="10"/>
      <c r="E814" s="10"/>
      <c r="F814" s="10"/>
      <c r="G814" s="3"/>
      <c r="H814" s="9"/>
      <c r="I814" s="9"/>
      <c r="J814" s="9"/>
      <c r="K814" s="10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3"/>
      <c r="AM814" s="3"/>
      <c r="AN814" s="10"/>
      <c r="AO814" s="3"/>
      <c r="AP814" s="3"/>
      <c r="AQ814" s="3"/>
      <c r="AR814" s="3"/>
      <c r="AS814" s="3"/>
      <c r="AT814" s="3"/>
      <c r="AU814" s="3"/>
      <c r="AV814" s="3"/>
    </row>
    <row r="815" spans="1:48" ht="15.4" x14ac:dyDescent="0.35">
      <c r="A815" s="9"/>
      <c r="B815" s="3"/>
      <c r="C815" s="10"/>
      <c r="D815" s="10"/>
      <c r="E815" s="10"/>
      <c r="F815" s="10"/>
      <c r="G815" s="3"/>
      <c r="H815" s="9"/>
      <c r="I815" s="9"/>
      <c r="J815" s="9"/>
      <c r="K815" s="10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3"/>
      <c r="AM815" s="3"/>
      <c r="AN815" s="10"/>
      <c r="AO815" s="3"/>
      <c r="AP815" s="3"/>
      <c r="AQ815" s="3"/>
      <c r="AR815" s="3"/>
      <c r="AS815" s="3"/>
      <c r="AT815" s="3"/>
      <c r="AU815" s="3"/>
      <c r="AV815" s="3"/>
    </row>
    <row r="816" spans="1:48" ht="15.4" x14ac:dyDescent="0.35">
      <c r="A816" s="9"/>
      <c r="B816" s="3"/>
      <c r="C816" s="10"/>
      <c r="D816" s="10"/>
      <c r="E816" s="10"/>
      <c r="F816" s="10"/>
      <c r="G816" s="3"/>
      <c r="H816" s="9"/>
      <c r="I816" s="9"/>
      <c r="J816" s="9"/>
      <c r="K816" s="10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3"/>
      <c r="AM816" s="3"/>
      <c r="AN816" s="10"/>
      <c r="AO816" s="3"/>
      <c r="AP816" s="3"/>
      <c r="AQ816" s="3"/>
      <c r="AR816" s="3"/>
      <c r="AS816" s="3"/>
      <c r="AT816" s="3"/>
      <c r="AU816" s="3"/>
      <c r="AV816" s="3"/>
    </row>
    <row r="817" spans="1:48" ht="15.4" x14ac:dyDescent="0.35">
      <c r="A817" s="9"/>
      <c r="B817" s="3"/>
      <c r="C817" s="10"/>
      <c r="D817" s="10"/>
      <c r="E817" s="10"/>
      <c r="F817" s="10"/>
      <c r="G817" s="3"/>
      <c r="H817" s="9"/>
      <c r="I817" s="9"/>
      <c r="J817" s="9"/>
      <c r="K817" s="10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3"/>
      <c r="AM817" s="3"/>
      <c r="AN817" s="10"/>
      <c r="AO817" s="3"/>
      <c r="AP817" s="3"/>
      <c r="AQ817" s="3"/>
      <c r="AR817" s="3"/>
      <c r="AS817" s="3"/>
      <c r="AT817" s="3"/>
      <c r="AU817" s="3"/>
      <c r="AV817" s="3"/>
    </row>
    <row r="818" spans="1:48" ht="15.4" x14ac:dyDescent="0.35">
      <c r="A818" s="9"/>
      <c r="B818" s="3"/>
      <c r="C818" s="10"/>
      <c r="D818" s="10"/>
      <c r="E818" s="10"/>
      <c r="F818" s="10"/>
      <c r="G818" s="3"/>
      <c r="H818" s="9"/>
      <c r="I818" s="9"/>
      <c r="J818" s="9"/>
      <c r="K818" s="10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3"/>
      <c r="AM818" s="3"/>
      <c r="AN818" s="10"/>
      <c r="AO818" s="3"/>
      <c r="AP818" s="3"/>
      <c r="AQ818" s="3"/>
      <c r="AR818" s="3"/>
      <c r="AS818" s="3"/>
      <c r="AT818" s="3"/>
      <c r="AU818" s="3"/>
      <c r="AV818" s="3"/>
    </row>
    <row r="819" spans="1:48" ht="15.4" x14ac:dyDescent="0.35">
      <c r="A819" s="9"/>
      <c r="B819" s="3"/>
      <c r="C819" s="10"/>
      <c r="D819" s="10"/>
      <c r="E819" s="10"/>
      <c r="F819" s="10"/>
      <c r="G819" s="3"/>
      <c r="H819" s="9"/>
      <c r="I819" s="9"/>
      <c r="J819" s="9"/>
      <c r="K819" s="10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3"/>
      <c r="AM819" s="3"/>
      <c r="AN819" s="10"/>
      <c r="AO819" s="3"/>
      <c r="AP819" s="3"/>
      <c r="AQ819" s="3"/>
      <c r="AR819" s="3"/>
      <c r="AS819" s="3"/>
      <c r="AT819" s="3"/>
      <c r="AU819" s="3"/>
      <c r="AV819" s="3"/>
    </row>
    <row r="820" spans="1:48" ht="15.4" x14ac:dyDescent="0.35">
      <c r="A820" s="9"/>
      <c r="B820" s="3"/>
      <c r="C820" s="10"/>
      <c r="D820" s="10"/>
      <c r="E820" s="10"/>
      <c r="F820" s="10"/>
      <c r="G820" s="3"/>
      <c r="H820" s="9"/>
      <c r="I820" s="9"/>
      <c r="J820" s="9"/>
      <c r="K820" s="10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3"/>
      <c r="AM820" s="3"/>
      <c r="AN820" s="10"/>
      <c r="AO820" s="3"/>
      <c r="AP820" s="3"/>
      <c r="AQ820" s="3"/>
      <c r="AR820" s="3"/>
      <c r="AS820" s="3"/>
      <c r="AT820" s="3"/>
      <c r="AU820" s="3"/>
      <c r="AV820" s="3"/>
    </row>
    <row r="821" spans="1:48" ht="15.4" x14ac:dyDescent="0.35">
      <c r="A821" s="9"/>
      <c r="B821" s="3"/>
      <c r="C821" s="10"/>
      <c r="D821" s="10"/>
      <c r="E821" s="10"/>
      <c r="F821" s="10"/>
      <c r="G821" s="3"/>
      <c r="H821" s="9"/>
      <c r="I821" s="9"/>
      <c r="J821" s="9"/>
      <c r="K821" s="10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3"/>
      <c r="AM821" s="3"/>
      <c r="AN821" s="10"/>
      <c r="AO821" s="3"/>
      <c r="AP821" s="3"/>
      <c r="AQ821" s="3"/>
      <c r="AR821" s="3"/>
      <c r="AS821" s="3"/>
      <c r="AT821" s="3"/>
      <c r="AU821" s="3"/>
      <c r="AV821" s="3"/>
    </row>
    <row r="822" spans="1:48" ht="15.4" x14ac:dyDescent="0.35">
      <c r="A822" s="9"/>
      <c r="B822" s="3"/>
      <c r="C822" s="10"/>
      <c r="D822" s="10"/>
      <c r="E822" s="10"/>
      <c r="F822" s="10"/>
      <c r="G822" s="3"/>
      <c r="H822" s="9"/>
      <c r="I822" s="9"/>
      <c r="J822" s="9"/>
      <c r="K822" s="10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3"/>
      <c r="AM822" s="3"/>
      <c r="AN822" s="10"/>
      <c r="AO822" s="3"/>
      <c r="AP822" s="3"/>
      <c r="AQ822" s="3"/>
      <c r="AR822" s="3"/>
      <c r="AS822" s="3"/>
      <c r="AT822" s="3"/>
      <c r="AU822" s="3"/>
      <c r="AV822" s="3"/>
    </row>
    <row r="823" spans="1:48" ht="15.4" x14ac:dyDescent="0.35">
      <c r="A823" s="9"/>
      <c r="B823" s="3"/>
      <c r="C823" s="10"/>
      <c r="D823" s="10"/>
      <c r="E823" s="10"/>
      <c r="F823" s="10"/>
      <c r="G823" s="3"/>
      <c r="H823" s="9"/>
      <c r="I823" s="9"/>
      <c r="J823" s="9"/>
      <c r="K823" s="10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3"/>
      <c r="AM823" s="3"/>
      <c r="AN823" s="10"/>
      <c r="AO823" s="3"/>
      <c r="AP823" s="3"/>
      <c r="AQ823" s="3"/>
      <c r="AR823" s="3"/>
      <c r="AS823" s="3"/>
      <c r="AT823" s="3"/>
      <c r="AU823" s="3"/>
      <c r="AV823" s="3"/>
    </row>
    <row r="824" spans="1:48" ht="15.4" x14ac:dyDescent="0.35">
      <c r="A824" s="9"/>
      <c r="B824" s="3"/>
      <c r="C824" s="10"/>
      <c r="D824" s="10"/>
      <c r="E824" s="10"/>
      <c r="F824" s="10"/>
      <c r="G824" s="3"/>
      <c r="H824" s="9"/>
      <c r="I824" s="9"/>
      <c r="J824" s="9"/>
      <c r="K824" s="10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3"/>
      <c r="AM824" s="3"/>
      <c r="AN824" s="10"/>
      <c r="AO824" s="3"/>
      <c r="AP824" s="3"/>
      <c r="AQ824" s="3"/>
      <c r="AR824" s="3"/>
      <c r="AS824" s="3"/>
      <c r="AT824" s="3"/>
      <c r="AU824" s="3"/>
      <c r="AV824" s="3"/>
    </row>
    <row r="825" spans="1:48" ht="15.4" x14ac:dyDescent="0.35">
      <c r="A825" s="9"/>
      <c r="B825" s="3"/>
      <c r="C825" s="10"/>
      <c r="D825" s="10"/>
      <c r="E825" s="10"/>
      <c r="F825" s="10"/>
      <c r="G825" s="3"/>
      <c r="H825" s="9"/>
      <c r="I825" s="9"/>
      <c r="J825" s="9"/>
      <c r="K825" s="10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3"/>
      <c r="AM825" s="3"/>
      <c r="AN825" s="10"/>
      <c r="AO825" s="3"/>
      <c r="AP825" s="3"/>
      <c r="AQ825" s="3"/>
      <c r="AR825" s="3"/>
      <c r="AS825" s="3"/>
      <c r="AT825" s="3"/>
      <c r="AU825" s="3"/>
      <c r="AV825" s="3"/>
    </row>
    <row r="826" spans="1:48" ht="15.4" x14ac:dyDescent="0.35">
      <c r="A826" s="9"/>
      <c r="B826" s="3"/>
      <c r="C826" s="10"/>
      <c r="D826" s="10"/>
      <c r="E826" s="10"/>
      <c r="F826" s="10"/>
      <c r="G826" s="3"/>
      <c r="H826" s="9"/>
      <c r="I826" s="9"/>
      <c r="J826" s="9"/>
      <c r="K826" s="10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3"/>
      <c r="AM826" s="3"/>
      <c r="AN826" s="10"/>
      <c r="AO826" s="3"/>
      <c r="AP826" s="3"/>
      <c r="AQ826" s="3"/>
      <c r="AR826" s="3"/>
      <c r="AS826" s="3"/>
      <c r="AT826" s="3"/>
      <c r="AU826" s="3"/>
      <c r="AV826" s="3"/>
    </row>
    <row r="827" spans="1:48" ht="15.4" x14ac:dyDescent="0.35">
      <c r="A827" s="9"/>
      <c r="B827" s="3"/>
      <c r="C827" s="10"/>
      <c r="D827" s="10"/>
      <c r="E827" s="10"/>
      <c r="F827" s="10"/>
      <c r="G827" s="3"/>
      <c r="H827" s="9"/>
      <c r="I827" s="9"/>
      <c r="J827" s="9"/>
      <c r="K827" s="10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3"/>
      <c r="AM827" s="3"/>
      <c r="AN827" s="10"/>
      <c r="AO827" s="3"/>
      <c r="AP827" s="3"/>
      <c r="AQ827" s="3"/>
      <c r="AR827" s="3"/>
      <c r="AS827" s="3"/>
      <c r="AT827" s="3"/>
      <c r="AU827" s="3"/>
      <c r="AV827" s="3"/>
    </row>
    <row r="828" spans="1:48" ht="15.4" x14ac:dyDescent="0.35">
      <c r="A828" s="9"/>
      <c r="B828" s="3"/>
      <c r="C828" s="10"/>
      <c r="D828" s="10"/>
      <c r="E828" s="10"/>
      <c r="F828" s="10"/>
      <c r="G828" s="3"/>
      <c r="H828" s="9"/>
      <c r="I828" s="9"/>
      <c r="J828" s="9"/>
      <c r="K828" s="10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3"/>
      <c r="AM828" s="3"/>
      <c r="AN828" s="10"/>
      <c r="AO828" s="3"/>
      <c r="AP828" s="3"/>
      <c r="AQ828" s="3"/>
      <c r="AR828" s="3"/>
      <c r="AS828" s="3"/>
      <c r="AT828" s="3"/>
      <c r="AU828" s="3"/>
      <c r="AV828" s="3"/>
    </row>
    <row r="829" spans="1:48" ht="15.4" x14ac:dyDescent="0.35">
      <c r="A829" s="9"/>
      <c r="B829" s="3"/>
      <c r="C829" s="10"/>
      <c r="D829" s="10"/>
      <c r="E829" s="10"/>
      <c r="F829" s="10"/>
      <c r="G829" s="3"/>
      <c r="H829" s="9"/>
      <c r="I829" s="9"/>
      <c r="J829" s="9"/>
      <c r="K829" s="10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3"/>
      <c r="AM829" s="3"/>
      <c r="AN829" s="10"/>
      <c r="AO829" s="3"/>
      <c r="AP829" s="3"/>
      <c r="AQ829" s="3"/>
      <c r="AR829" s="3"/>
      <c r="AS829" s="3"/>
      <c r="AT829" s="3"/>
      <c r="AU829" s="3"/>
      <c r="AV829" s="3"/>
    </row>
    <row r="830" spans="1:48" ht="15.4" x14ac:dyDescent="0.35">
      <c r="A830" s="9"/>
      <c r="B830" s="3"/>
      <c r="C830" s="10"/>
      <c r="D830" s="10"/>
      <c r="E830" s="10"/>
      <c r="F830" s="10"/>
      <c r="G830" s="3"/>
      <c r="H830" s="9"/>
      <c r="I830" s="9"/>
      <c r="J830" s="9"/>
      <c r="K830" s="10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3"/>
      <c r="AM830" s="3"/>
      <c r="AN830" s="10"/>
      <c r="AO830" s="3"/>
      <c r="AP830" s="3"/>
      <c r="AQ830" s="3"/>
      <c r="AR830" s="3"/>
      <c r="AS830" s="3"/>
      <c r="AT830" s="3"/>
      <c r="AU830" s="3"/>
      <c r="AV830" s="3"/>
    </row>
    <row r="831" spans="1:48" ht="15.4" x14ac:dyDescent="0.35">
      <c r="A831" s="9"/>
      <c r="B831" s="3"/>
      <c r="C831" s="10"/>
      <c r="D831" s="10"/>
      <c r="E831" s="10"/>
      <c r="F831" s="10"/>
      <c r="G831" s="3"/>
      <c r="H831" s="9"/>
      <c r="I831" s="9"/>
      <c r="J831" s="9"/>
      <c r="K831" s="10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3"/>
      <c r="AM831" s="3"/>
      <c r="AN831" s="10"/>
      <c r="AO831" s="3"/>
      <c r="AP831" s="3"/>
      <c r="AQ831" s="3"/>
      <c r="AR831" s="3"/>
      <c r="AS831" s="3"/>
      <c r="AT831" s="3"/>
      <c r="AU831" s="3"/>
      <c r="AV831" s="3"/>
    </row>
    <row r="832" spans="1:48" ht="15.4" x14ac:dyDescent="0.35">
      <c r="A832" s="9"/>
      <c r="B832" s="3"/>
      <c r="C832" s="10"/>
      <c r="D832" s="10"/>
      <c r="E832" s="10"/>
      <c r="F832" s="10"/>
      <c r="G832" s="3"/>
      <c r="H832" s="9"/>
      <c r="I832" s="9"/>
      <c r="J832" s="9"/>
      <c r="K832" s="10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3"/>
      <c r="AM832" s="3"/>
      <c r="AN832" s="10"/>
      <c r="AO832" s="3"/>
      <c r="AP832" s="3"/>
      <c r="AQ832" s="3"/>
      <c r="AR832" s="3"/>
      <c r="AS832" s="3"/>
      <c r="AT832" s="3"/>
      <c r="AU832" s="3"/>
      <c r="AV832" s="3"/>
    </row>
    <row r="833" spans="1:48" ht="15.4" x14ac:dyDescent="0.35">
      <c r="A833" s="9"/>
      <c r="B833" s="3"/>
      <c r="C833" s="10"/>
      <c r="D833" s="10"/>
      <c r="E833" s="10"/>
      <c r="F833" s="10"/>
      <c r="G833" s="3"/>
      <c r="H833" s="9"/>
      <c r="I833" s="9"/>
      <c r="J833" s="9"/>
      <c r="K833" s="10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3"/>
      <c r="AM833" s="3"/>
      <c r="AN833" s="10"/>
      <c r="AO833" s="3"/>
      <c r="AP833" s="3"/>
      <c r="AQ833" s="3"/>
      <c r="AR833" s="3"/>
      <c r="AS833" s="3"/>
      <c r="AT833" s="3"/>
      <c r="AU833" s="3"/>
      <c r="AV833" s="3"/>
    </row>
    <row r="834" spans="1:48" ht="15.4" x14ac:dyDescent="0.35">
      <c r="A834" s="9"/>
      <c r="B834" s="3"/>
      <c r="C834" s="10"/>
      <c r="D834" s="10"/>
      <c r="E834" s="10"/>
      <c r="F834" s="10"/>
      <c r="G834" s="3"/>
      <c r="H834" s="9"/>
      <c r="I834" s="9"/>
      <c r="J834" s="9"/>
      <c r="K834" s="10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3"/>
      <c r="AM834" s="3"/>
      <c r="AN834" s="10"/>
      <c r="AO834" s="3"/>
      <c r="AP834" s="3"/>
      <c r="AQ834" s="3"/>
      <c r="AR834" s="3"/>
      <c r="AS834" s="3"/>
      <c r="AT834" s="3"/>
      <c r="AU834" s="3"/>
      <c r="AV834" s="3"/>
    </row>
    <row r="835" spans="1:48" ht="15.4" x14ac:dyDescent="0.35">
      <c r="A835" s="9"/>
      <c r="B835" s="3"/>
      <c r="C835" s="10"/>
      <c r="D835" s="10"/>
      <c r="E835" s="10"/>
      <c r="F835" s="10"/>
      <c r="G835" s="3"/>
      <c r="H835" s="9"/>
      <c r="I835" s="9"/>
      <c r="J835" s="9"/>
      <c r="K835" s="10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3"/>
      <c r="AM835" s="3"/>
      <c r="AN835" s="10"/>
      <c r="AO835" s="3"/>
      <c r="AP835" s="3"/>
      <c r="AQ835" s="3"/>
      <c r="AR835" s="3"/>
      <c r="AS835" s="3"/>
      <c r="AT835" s="3"/>
      <c r="AU835" s="3"/>
      <c r="AV835" s="3"/>
    </row>
    <row r="836" spans="1:48" ht="15.4" x14ac:dyDescent="0.35">
      <c r="A836" s="9"/>
      <c r="B836" s="3"/>
      <c r="C836" s="10"/>
      <c r="D836" s="10"/>
      <c r="E836" s="10"/>
      <c r="F836" s="10"/>
      <c r="G836" s="3"/>
      <c r="H836" s="9"/>
      <c r="I836" s="9"/>
      <c r="J836" s="9"/>
      <c r="K836" s="10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3"/>
      <c r="AM836" s="3"/>
      <c r="AN836" s="10"/>
      <c r="AO836" s="3"/>
      <c r="AP836" s="3"/>
      <c r="AQ836" s="3"/>
      <c r="AR836" s="3"/>
      <c r="AS836" s="3"/>
      <c r="AT836" s="3"/>
      <c r="AU836" s="3"/>
      <c r="AV836" s="3"/>
    </row>
    <row r="837" spans="1:48" ht="15.4" x14ac:dyDescent="0.35">
      <c r="A837" s="9"/>
      <c r="B837" s="3"/>
      <c r="C837" s="10"/>
      <c r="D837" s="10"/>
      <c r="E837" s="10"/>
      <c r="F837" s="10"/>
      <c r="G837" s="3"/>
      <c r="H837" s="9"/>
      <c r="I837" s="9"/>
      <c r="J837" s="9"/>
      <c r="K837" s="10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3"/>
      <c r="AM837" s="3"/>
      <c r="AN837" s="10"/>
      <c r="AO837" s="3"/>
      <c r="AP837" s="3"/>
      <c r="AQ837" s="3"/>
      <c r="AR837" s="3"/>
      <c r="AS837" s="3"/>
      <c r="AT837" s="3"/>
      <c r="AU837" s="3"/>
      <c r="AV837" s="3"/>
    </row>
    <row r="838" spans="1:48" ht="15.4" x14ac:dyDescent="0.35">
      <c r="A838" s="9"/>
      <c r="B838" s="3"/>
      <c r="C838" s="10"/>
      <c r="D838" s="10"/>
      <c r="E838" s="10"/>
      <c r="F838" s="10"/>
      <c r="G838" s="3"/>
      <c r="H838" s="9"/>
      <c r="I838" s="9"/>
      <c r="J838" s="9"/>
      <c r="K838" s="10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3"/>
      <c r="AM838" s="3"/>
      <c r="AN838" s="10"/>
      <c r="AO838" s="3"/>
      <c r="AP838" s="3"/>
      <c r="AQ838" s="3"/>
      <c r="AR838" s="3"/>
      <c r="AS838" s="3"/>
      <c r="AT838" s="3"/>
      <c r="AU838" s="3"/>
      <c r="AV838" s="3"/>
    </row>
    <row r="839" spans="1:48" ht="15.4" x14ac:dyDescent="0.35">
      <c r="A839" s="9"/>
      <c r="B839" s="3"/>
      <c r="C839" s="10"/>
      <c r="D839" s="10"/>
      <c r="E839" s="10"/>
      <c r="F839" s="10"/>
      <c r="G839" s="3"/>
      <c r="H839" s="9"/>
      <c r="I839" s="9"/>
      <c r="J839" s="9"/>
      <c r="K839" s="10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3"/>
      <c r="AM839" s="3"/>
      <c r="AN839" s="10"/>
      <c r="AO839" s="3"/>
      <c r="AP839" s="3"/>
      <c r="AQ839" s="3"/>
      <c r="AR839" s="3"/>
      <c r="AS839" s="3"/>
      <c r="AT839" s="3"/>
      <c r="AU839" s="3"/>
      <c r="AV839" s="3"/>
    </row>
    <row r="840" spans="1:48" ht="15.4" x14ac:dyDescent="0.35">
      <c r="A840" s="9"/>
      <c r="B840" s="3"/>
      <c r="C840" s="10"/>
      <c r="D840" s="10"/>
      <c r="E840" s="10"/>
      <c r="F840" s="10"/>
      <c r="G840" s="3"/>
      <c r="H840" s="9"/>
      <c r="I840" s="9"/>
      <c r="J840" s="9"/>
      <c r="K840" s="10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3"/>
      <c r="AM840" s="3"/>
      <c r="AN840" s="10"/>
      <c r="AO840" s="3"/>
      <c r="AP840" s="3"/>
      <c r="AQ840" s="3"/>
      <c r="AR840" s="3"/>
      <c r="AS840" s="3"/>
      <c r="AT840" s="3"/>
      <c r="AU840" s="3"/>
      <c r="AV840" s="3"/>
    </row>
    <row r="841" spans="1:48" ht="15.4" x14ac:dyDescent="0.35">
      <c r="A841" s="9"/>
      <c r="B841" s="3"/>
      <c r="C841" s="10"/>
      <c r="D841" s="10"/>
      <c r="E841" s="10"/>
      <c r="F841" s="10"/>
      <c r="G841" s="3"/>
      <c r="H841" s="9"/>
      <c r="I841" s="9"/>
      <c r="J841" s="9"/>
      <c r="K841" s="10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3"/>
      <c r="AM841" s="3"/>
      <c r="AN841" s="10"/>
      <c r="AO841" s="3"/>
      <c r="AP841" s="3"/>
      <c r="AQ841" s="3"/>
      <c r="AR841" s="3"/>
      <c r="AS841" s="3"/>
      <c r="AT841" s="3"/>
      <c r="AU841" s="3"/>
      <c r="AV841" s="3"/>
    </row>
    <row r="842" spans="1:48" ht="15.4" x14ac:dyDescent="0.35">
      <c r="A842" s="9"/>
      <c r="B842" s="3"/>
      <c r="C842" s="10"/>
      <c r="D842" s="10"/>
      <c r="E842" s="10"/>
      <c r="F842" s="10"/>
      <c r="G842" s="3"/>
      <c r="H842" s="9"/>
      <c r="I842" s="9"/>
      <c r="J842" s="9"/>
      <c r="K842" s="10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3"/>
      <c r="AM842" s="3"/>
      <c r="AN842" s="10"/>
      <c r="AO842" s="3"/>
      <c r="AP842" s="3"/>
      <c r="AQ842" s="3"/>
      <c r="AR842" s="3"/>
      <c r="AS842" s="3"/>
      <c r="AT842" s="3"/>
      <c r="AU842" s="3"/>
      <c r="AV842" s="3"/>
    </row>
    <row r="843" spans="1:48" ht="15.4" x14ac:dyDescent="0.35">
      <c r="A843" s="9"/>
      <c r="B843" s="3"/>
      <c r="C843" s="10"/>
      <c r="D843" s="10"/>
      <c r="E843" s="10"/>
      <c r="F843" s="10"/>
      <c r="G843" s="3"/>
      <c r="H843" s="9"/>
      <c r="I843" s="9"/>
      <c r="J843" s="9"/>
      <c r="K843" s="10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3"/>
      <c r="AM843" s="3"/>
      <c r="AN843" s="10"/>
      <c r="AO843" s="3"/>
      <c r="AP843" s="3"/>
      <c r="AQ843" s="3"/>
      <c r="AR843" s="3"/>
      <c r="AS843" s="3"/>
      <c r="AT843" s="3"/>
      <c r="AU843" s="3"/>
      <c r="AV843" s="3"/>
    </row>
    <row r="844" spans="1:48" ht="15.4" x14ac:dyDescent="0.35">
      <c r="A844" s="9"/>
      <c r="B844" s="3"/>
      <c r="C844" s="10"/>
      <c r="D844" s="10"/>
      <c r="E844" s="10"/>
      <c r="F844" s="10"/>
      <c r="G844" s="3"/>
      <c r="H844" s="9"/>
      <c r="I844" s="9"/>
      <c r="J844" s="9"/>
      <c r="K844" s="10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3"/>
      <c r="AM844" s="3"/>
      <c r="AN844" s="10"/>
      <c r="AO844" s="3"/>
      <c r="AP844" s="3"/>
      <c r="AQ844" s="3"/>
      <c r="AR844" s="3"/>
      <c r="AS844" s="3"/>
      <c r="AT844" s="3"/>
      <c r="AU844" s="3"/>
      <c r="AV844" s="3"/>
    </row>
    <row r="845" spans="1:48" ht="15.4" x14ac:dyDescent="0.35">
      <c r="A845" s="9"/>
      <c r="B845" s="3"/>
      <c r="C845" s="10"/>
      <c r="D845" s="10"/>
      <c r="E845" s="10"/>
      <c r="F845" s="10"/>
      <c r="G845" s="3"/>
      <c r="H845" s="9"/>
      <c r="I845" s="9"/>
      <c r="J845" s="9"/>
      <c r="K845" s="10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3"/>
      <c r="AM845" s="3"/>
      <c r="AN845" s="10"/>
      <c r="AO845" s="3"/>
      <c r="AP845" s="3"/>
      <c r="AQ845" s="3"/>
      <c r="AR845" s="3"/>
      <c r="AS845" s="3"/>
      <c r="AT845" s="3"/>
      <c r="AU845" s="3"/>
      <c r="AV845" s="3"/>
    </row>
    <row r="846" spans="1:48" ht="15.4" x14ac:dyDescent="0.35">
      <c r="A846" s="9"/>
      <c r="B846" s="3"/>
      <c r="C846" s="10"/>
      <c r="D846" s="10"/>
      <c r="E846" s="10"/>
      <c r="F846" s="10"/>
      <c r="G846" s="3"/>
      <c r="H846" s="9"/>
      <c r="I846" s="9"/>
      <c r="J846" s="9"/>
      <c r="K846" s="10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3"/>
      <c r="AM846" s="3"/>
      <c r="AN846" s="10"/>
      <c r="AO846" s="3"/>
      <c r="AP846" s="3"/>
      <c r="AQ846" s="3"/>
      <c r="AR846" s="3"/>
      <c r="AS846" s="3"/>
      <c r="AT846" s="3"/>
      <c r="AU846" s="3"/>
      <c r="AV846" s="3"/>
    </row>
    <row r="847" spans="1:48" ht="15.4" x14ac:dyDescent="0.35">
      <c r="A847" s="9"/>
      <c r="B847" s="3"/>
      <c r="C847" s="10"/>
      <c r="D847" s="10"/>
      <c r="E847" s="10"/>
      <c r="F847" s="10"/>
      <c r="G847" s="3"/>
      <c r="H847" s="9"/>
      <c r="I847" s="9"/>
      <c r="J847" s="9"/>
      <c r="K847" s="10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3"/>
      <c r="AM847" s="3"/>
      <c r="AN847" s="10"/>
      <c r="AO847" s="3"/>
      <c r="AP847" s="3"/>
      <c r="AQ847" s="3"/>
      <c r="AR847" s="3"/>
      <c r="AS847" s="3"/>
      <c r="AT847" s="3"/>
      <c r="AU847" s="3"/>
      <c r="AV847" s="3"/>
    </row>
    <row r="848" spans="1:48" ht="15.4" x14ac:dyDescent="0.35">
      <c r="A848" s="9"/>
      <c r="B848" s="3"/>
      <c r="C848" s="10"/>
      <c r="D848" s="10"/>
      <c r="E848" s="10"/>
      <c r="F848" s="10"/>
      <c r="G848" s="3"/>
      <c r="H848" s="9"/>
      <c r="I848" s="9"/>
      <c r="J848" s="9"/>
      <c r="K848" s="10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3"/>
      <c r="AM848" s="3"/>
      <c r="AN848" s="10"/>
      <c r="AO848" s="3"/>
      <c r="AP848" s="3"/>
      <c r="AQ848" s="3"/>
      <c r="AR848" s="3"/>
      <c r="AS848" s="3"/>
      <c r="AT848" s="3"/>
      <c r="AU848" s="3"/>
      <c r="AV848" s="3"/>
    </row>
    <row r="849" spans="1:48" ht="15.4" x14ac:dyDescent="0.35">
      <c r="A849" s="9"/>
      <c r="B849" s="3"/>
      <c r="C849" s="10"/>
      <c r="D849" s="10"/>
      <c r="E849" s="10"/>
      <c r="F849" s="10"/>
      <c r="G849" s="3"/>
      <c r="H849" s="9"/>
      <c r="I849" s="9"/>
      <c r="J849" s="9"/>
      <c r="K849" s="10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3"/>
      <c r="AM849" s="3"/>
      <c r="AN849" s="10"/>
      <c r="AO849" s="3"/>
      <c r="AP849" s="3"/>
      <c r="AQ849" s="3"/>
      <c r="AR849" s="3"/>
      <c r="AS849" s="3"/>
      <c r="AT849" s="3"/>
      <c r="AU849" s="3"/>
      <c r="AV849" s="3"/>
    </row>
    <row r="850" spans="1:48" ht="15.4" x14ac:dyDescent="0.35">
      <c r="A850" s="9"/>
      <c r="B850" s="3"/>
      <c r="C850" s="10"/>
      <c r="D850" s="10"/>
      <c r="E850" s="10"/>
      <c r="F850" s="10"/>
      <c r="G850" s="3"/>
      <c r="H850" s="9"/>
      <c r="I850" s="9"/>
      <c r="J850" s="9"/>
      <c r="K850" s="10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3"/>
      <c r="AM850" s="3"/>
      <c r="AN850" s="10"/>
      <c r="AO850" s="3"/>
      <c r="AP850" s="3"/>
      <c r="AQ850" s="3"/>
      <c r="AR850" s="3"/>
      <c r="AS850" s="3"/>
      <c r="AT850" s="3"/>
      <c r="AU850" s="3"/>
      <c r="AV850" s="3"/>
    </row>
    <row r="851" spans="1:48" ht="15.4" x14ac:dyDescent="0.35">
      <c r="A851" s="9"/>
      <c r="B851" s="3"/>
      <c r="C851" s="10"/>
      <c r="D851" s="10"/>
      <c r="E851" s="10"/>
      <c r="F851" s="10"/>
      <c r="G851" s="3"/>
      <c r="H851" s="9"/>
      <c r="I851" s="9"/>
      <c r="J851" s="9"/>
      <c r="K851" s="10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3"/>
      <c r="AM851" s="3"/>
      <c r="AN851" s="10"/>
      <c r="AO851" s="3"/>
      <c r="AP851" s="3"/>
      <c r="AQ851" s="3"/>
      <c r="AR851" s="3"/>
      <c r="AS851" s="3"/>
      <c r="AT851" s="3"/>
      <c r="AU851" s="3"/>
      <c r="AV851" s="3"/>
    </row>
    <row r="852" spans="1:48" ht="15.4" x14ac:dyDescent="0.35">
      <c r="A852" s="9"/>
      <c r="B852" s="3"/>
      <c r="C852" s="10"/>
      <c r="D852" s="10"/>
      <c r="E852" s="10"/>
      <c r="F852" s="10"/>
      <c r="G852" s="3"/>
      <c r="H852" s="9"/>
      <c r="I852" s="9"/>
      <c r="J852" s="9"/>
      <c r="K852" s="10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3"/>
      <c r="AM852" s="3"/>
      <c r="AN852" s="10"/>
      <c r="AO852" s="3"/>
      <c r="AP852" s="3"/>
      <c r="AQ852" s="3"/>
      <c r="AR852" s="3"/>
      <c r="AS852" s="3"/>
      <c r="AT852" s="3"/>
      <c r="AU852" s="3"/>
      <c r="AV852" s="3"/>
    </row>
    <row r="853" spans="1:48" ht="15.4" x14ac:dyDescent="0.35">
      <c r="A853" s="9"/>
      <c r="B853" s="3"/>
      <c r="C853" s="10"/>
      <c r="D853" s="10"/>
      <c r="E853" s="10"/>
      <c r="F853" s="10"/>
      <c r="G853" s="3"/>
      <c r="H853" s="9"/>
      <c r="I853" s="9"/>
      <c r="J853" s="9"/>
      <c r="K853" s="10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3"/>
      <c r="AM853" s="3"/>
      <c r="AN853" s="10"/>
      <c r="AO853" s="3"/>
      <c r="AP853" s="3"/>
      <c r="AQ853" s="3"/>
      <c r="AR853" s="3"/>
      <c r="AS853" s="3"/>
      <c r="AT853" s="3"/>
      <c r="AU853" s="3"/>
      <c r="AV853" s="3"/>
    </row>
    <row r="854" spans="1:48" ht="15.4" x14ac:dyDescent="0.35">
      <c r="A854" s="9"/>
      <c r="B854" s="3"/>
      <c r="C854" s="10"/>
      <c r="D854" s="10"/>
      <c r="E854" s="10"/>
      <c r="F854" s="10"/>
      <c r="G854" s="3"/>
      <c r="H854" s="9"/>
      <c r="I854" s="9"/>
      <c r="J854" s="9"/>
      <c r="K854" s="10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3"/>
      <c r="AM854" s="3"/>
      <c r="AN854" s="10"/>
      <c r="AO854" s="3"/>
      <c r="AP854" s="3"/>
      <c r="AQ854" s="3"/>
      <c r="AR854" s="3"/>
      <c r="AS854" s="3"/>
      <c r="AT854" s="3"/>
      <c r="AU854" s="3"/>
      <c r="AV854" s="3"/>
    </row>
    <row r="855" spans="1:48" ht="15.4" x14ac:dyDescent="0.35">
      <c r="A855" s="9"/>
      <c r="B855" s="3"/>
      <c r="C855" s="10"/>
      <c r="D855" s="10"/>
      <c r="E855" s="10"/>
      <c r="F855" s="10"/>
      <c r="G855" s="3"/>
      <c r="H855" s="9"/>
      <c r="I855" s="9"/>
      <c r="J855" s="9"/>
      <c r="K855" s="10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3"/>
      <c r="AM855" s="3"/>
      <c r="AN855" s="10"/>
      <c r="AO855" s="3"/>
      <c r="AP855" s="3"/>
      <c r="AQ855" s="3"/>
      <c r="AR855" s="3"/>
      <c r="AS855" s="3"/>
      <c r="AT855" s="3"/>
      <c r="AU855" s="3"/>
      <c r="AV855" s="3"/>
    </row>
    <row r="856" spans="1:48" ht="15.4" x14ac:dyDescent="0.35">
      <c r="A856" s="9"/>
      <c r="B856" s="3"/>
      <c r="C856" s="10"/>
      <c r="D856" s="10"/>
      <c r="E856" s="10"/>
      <c r="F856" s="10"/>
      <c r="G856" s="3"/>
      <c r="H856" s="9"/>
      <c r="I856" s="9"/>
      <c r="J856" s="9"/>
      <c r="K856" s="10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3"/>
      <c r="AM856" s="3"/>
      <c r="AN856" s="10"/>
      <c r="AO856" s="3"/>
      <c r="AP856" s="3"/>
      <c r="AQ856" s="3"/>
      <c r="AR856" s="3"/>
      <c r="AS856" s="3"/>
      <c r="AT856" s="3"/>
      <c r="AU856" s="3"/>
      <c r="AV856" s="3"/>
    </row>
    <row r="857" spans="1:48" ht="15.4" x14ac:dyDescent="0.35">
      <c r="A857" s="9"/>
      <c r="B857" s="3"/>
      <c r="C857" s="10"/>
      <c r="D857" s="10"/>
      <c r="E857" s="10"/>
      <c r="F857" s="10"/>
      <c r="G857" s="3"/>
      <c r="H857" s="9"/>
      <c r="I857" s="9"/>
      <c r="J857" s="9"/>
      <c r="K857" s="10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3"/>
      <c r="AM857" s="3"/>
      <c r="AN857" s="10"/>
      <c r="AO857" s="3"/>
      <c r="AP857" s="3"/>
      <c r="AQ857" s="3"/>
      <c r="AR857" s="3"/>
      <c r="AS857" s="3"/>
      <c r="AT857" s="3"/>
      <c r="AU857" s="3"/>
      <c r="AV857" s="3"/>
    </row>
    <row r="858" spans="1:48" ht="15.4" x14ac:dyDescent="0.35">
      <c r="A858" s="9"/>
      <c r="B858" s="3"/>
      <c r="C858" s="10"/>
      <c r="D858" s="10"/>
      <c r="E858" s="10"/>
      <c r="F858" s="10"/>
      <c r="G858" s="3"/>
      <c r="H858" s="9"/>
      <c r="I858" s="9"/>
      <c r="J858" s="9"/>
      <c r="K858" s="10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3"/>
      <c r="AM858" s="3"/>
      <c r="AN858" s="10"/>
      <c r="AO858" s="3"/>
      <c r="AP858" s="3"/>
      <c r="AQ858" s="3"/>
      <c r="AR858" s="3"/>
      <c r="AS858" s="3"/>
      <c r="AT858" s="3"/>
      <c r="AU858" s="3"/>
      <c r="AV858" s="3"/>
    </row>
    <row r="859" spans="1:48" ht="15.4" x14ac:dyDescent="0.35">
      <c r="A859" s="9"/>
      <c r="B859" s="3"/>
      <c r="C859" s="10"/>
      <c r="D859" s="10"/>
      <c r="E859" s="10"/>
      <c r="F859" s="10"/>
      <c r="G859" s="3"/>
      <c r="H859" s="9"/>
      <c r="I859" s="9"/>
      <c r="J859" s="9"/>
      <c r="K859" s="10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3"/>
      <c r="AM859" s="3"/>
      <c r="AN859" s="10"/>
      <c r="AO859" s="3"/>
      <c r="AP859" s="3"/>
      <c r="AQ859" s="3"/>
      <c r="AR859" s="3"/>
      <c r="AS859" s="3"/>
      <c r="AT859" s="3"/>
      <c r="AU859" s="3"/>
      <c r="AV859" s="3"/>
    </row>
    <row r="860" spans="1:48" ht="15.4" x14ac:dyDescent="0.35">
      <c r="A860" s="9"/>
      <c r="B860" s="3"/>
      <c r="C860" s="10"/>
      <c r="D860" s="10"/>
      <c r="E860" s="10"/>
      <c r="F860" s="10"/>
      <c r="G860" s="3"/>
      <c r="H860" s="9"/>
      <c r="I860" s="9"/>
      <c r="J860" s="9"/>
      <c r="K860" s="10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3"/>
      <c r="AM860" s="3"/>
      <c r="AN860" s="10"/>
      <c r="AO860" s="3"/>
      <c r="AP860" s="3"/>
      <c r="AQ860" s="3"/>
      <c r="AR860" s="3"/>
      <c r="AS860" s="3"/>
      <c r="AT860" s="3"/>
      <c r="AU860" s="3"/>
      <c r="AV860" s="3"/>
    </row>
    <row r="861" spans="1:48" ht="15.4" x14ac:dyDescent="0.35">
      <c r="A861" s="9"/>
      <c r="B861" s="3"/>
      <c r="C861" s="10"/>
      <c r="D861" s="10"/>
      <c r="E861" s="10"/>
      <c r="F861" s="10"/>
      <c r="G861" s="3"/>
      <c r="H861" s="9"/>
      <c r="I861" s="9"/>
      <c r="J861" s="9"/>
      <c r="K861" s="10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3"/>
      <c r="AM861" s="3"/>
      <c r="AN861" s="10"/>
      <c r="AO861" s="3"/>
      <c r="AP861" s="3"/>
      <c r="AQ861" s="3"/>
      <c r="AR861" s="3"/>
      <c r="AS861" s="3"/>
      <c r="AT861" s="3"/>
      <c r="AU861" s="3"/>
      <c r="AV861" s="3"/>
    </row>
    <row r="862" spans="1:48" ht="15.4" x14ac:dyDescent="0.35">
      <c r="A862" s="9"/>
      <c r="B862" s="3"/>
      <c r="C862" s="10"/>
      <c r="D862" s="10"/>
      <c r="E862" s="10"/>
      <c r="F862" s="10"/>
      <c r="G862" s="3"/>
      <c r="H862" s="9"/>
      <c r="I862" s="9"/>
      <c r="J862" s="9"/>
      <c r="K862" s="10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3"/>
      <c r="AM862" s="3"/>
      <c r="AN862" s="10"/>
      <c r="AO862" s="3"/>
      <c r="AP862" s="3"/>
      <c r="AQ862" s="3"/>
      <c r="AR862" s="3"/>
      <c r="AS862" s="3"/>
      <c r="AT862" s="3"/>
      <c r="AU862" s="3"/>
      <c r="AV862" s="3"/>
    </row>
    <row r="863" spans="1:48" ht="15.4" x14ac:dyDescent="0.35">
      <c r="A863" s="9"/>
      <c r="B863" s="3"/>
      <c r="C863" s="10"/>
      <c r="D863" s="10"/>
      <c r="E863" s="10"/>
      <c r="F863" s="10"/>
      <c r="G863" s="3"/>
      <c r="H863" s="9"/>
      <c r="I863" s="9"/>
      <c r="J863" s="9"/>
      <c r="K863" s="10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3"/>
      <c r="AM863" s="3"/>
      <c r="AN863" s="10"/>
      <c r="AO863" s="3"/>
      <c r="AP863" s="3"/>
      <c r="AQ863" s="3"/>
      <c r="AR863" s="3"/>
      <c r="AS863" s="3"/>
      <c r="AT863" s="3"/>
      <c r="AU863" s="3"/>
      <c r="AV863" s="3"/>
    </row>
    <row r="864" spans="1:48" ht="15.4" x14ac:dyDescent="0.35">
      <c r="A864" s="9"/>
      <c r="B864" s="3"/>
      <c r="C864" s="10"/>
      <c r="D864" s="10"/>
      <c r="E864" s="10"/>
      <c r="F864" s="10"/>
      <c r="G864" s="3"/>
      <c r="H864" s="9"/>
      <c r="I864" s="9"/>
      <c r="J864" s="9"/>
      <c r="K864" s="10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3"/>
      <c r="AM864" s="3"/>
      <c r="AN864" s="10"/>
      <c r="AO864" s="3"/>
      <c r="AP864" s="3"/>
      <c r="AQ864" s="3"/>
      <c r="AR864" s="3"/>
      <c r="AS864" s="3"/>
      <c r="AT864" s="3"/>
      <c r="AU864" s="3"/>
      <c r="AV864" s="3"/>
    </row>
    <row r="865" spans="1:48" ht="15.4" x14ac:dyDescent="0.35">
      <c r="A865" s="9"/>
      <c r="B865" s="3"/>
      <c r="C865" s="10"/>
      <c r="D865" s="10"/>
      <c r="E865" s="10"/>
      <c r="F865" s="10"/>
      <c r="G865" s="3"/>
      <c r="H865" s="9"/>
      <c r="I865" s="9"/>
      <c r="J865" s="9"/>
      <c r="K865" s="10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3"/>
      <c r="AM865" s="3"/>
      <c r="AN865" s="10"/>
      <c r="AO865" s="3"/>
      <c r="AP865" s="3"/>
      <c r="AQ865" s="3"/>
      <c r="AR865" s="3"/>
      <c r="AS865" s="3"/>
      <c r="AT865" s="3"/>
      <c r="AU865" s="3"/>
      <c r="AV865" s="3"/>
    </row>
    <row r="866" spans="1:48" ht="15.4" x14ac:dyDescent="0.35">
      <c r="A866" s="9"/>
      <c r="B866" s="3"/>
      <c r="C866" s="10"/>
      <c r="D866" s="10"/>
      <c r="E866" s="10"/>
      <c r="F866" s="10"/>
      <c r="G866" s="3"/>
      <c r="H866" s="9"/>
      <c r="I866" s="9"/>
      <c r="J866" s="9"/>
      <c r="K866" s="10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3"/>
      <c r="AM866" s="3"/>
      <c r="AN866" s="10"/>
      <c r="AO866" s="3"/>
      <c r="AP866" s="3"/>
      <c r="AQ866" s="3"/>
      <c r="AR866" s="3"/>
      <c r="AS866" s="3"/>
      <c r="AT866" s="3"/>
      <c r="AU866" s="3"/>
      <c r="AV866" s="3"/>
    </row>
    <row r="867" spans="1:48" ht="15.4" x14ac:dyDescent="0.35">
      <c r="A867" s="9"/>
      <c r="B867" s="3"/>
      <c r="C867" s="10"/>
      <c r="D867" s="10"/>
      <c r="E867" s="10"/>
      <c r="F867" s="10"/>
      <c r="G867" s="3"/>
      <c r="H867" s="9"/>
      <c r="I867" s="9"/>
      <c r="J867" s="9"/>
      <c r="K867" s="10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3"/>
      <c r="AM867" s="3"/>
      <c r="AN867" s="10"/>
      <c r="AO867" s="3"/>
      <c r="AP867" s="3"/>
      <c r="AQ867" s="3"/>
      <c r="AR867" s="3"/>
      <c r="AS867" s="3"/>
      <c r="AT867" s="3"/>
      <c r="AU867" s="3"/>
      <c r="AV867" s="3"/>
    </row>
    <row r="868" spans="1:48" ht="15.4" x14ac:dyDescent="0.35">
      <c r="A868" s="9"/>
      <c r="B868" s="3"/>
      <c r="C868" s="10"/>
      <c r="D868" s="10"/>
      <c r="E868" s="10"/>
      <c r="F868" s="10"/>
      <c r="G868" s="3"/>
      <c r="H868" s="9"/>
      <c r="I868" s="9"/>
      <c r="J868" s="9"/>
      <c r="K868" s="10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3"/>
      <c r="AM868" s="3"/>
      <c r="AN868" s="10"/>
      <c r="AO868" s="3"/>
      <c r="AP868" s="3"/>
      <c r="AQ868" s="3"/>
      <c r="AR868" s="3"/>
      <c r="AS868" s="3"/>
      <c r="AT868" s="3"/>
      <c r="AU868" s="3"/>
      <c r="AV868" s="3"/>
    </row>
    <row r="869" spans="1:48" ht="15.4" x14ac:dyDescent="0.35">
      <c r="A869" s="9"/>
      <c r="B869" s="3"/>
      <c r="C869" s="10"/>
      <c r="D869" s="10"/>
      <c r="E869" s="10"/>
      <c r="F869" s="10"/>
      <c r="G869" s="3"/>
      <c r="H869" s="9"/>
      <c r="I869" s="9"/>
      <c r="J869" s="9"/>
      <c r="K869" s="10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3"/>
      <c r="AM869" s="3"/>
      <c r="AN869" s="10"/>
      <c r="AO869" s="3"/>
      <c r="AP869" s="3"/>
      <c r="AQ869" s="3"/>
      <c r="AR869" s="3"/>
      <c r="AS869" s="3"/>
      <c r="AT869" s="3"/>
      <c r="AU869" s="3"/>
      <c r="AV869" s="3"/>
    </row>
    <row r="870" spans="1:48" ht="15.4" x14ac:dyDescent="0.35">
      <c r="A870" s="9"/>
      <c r="B870" s="3"/>
      <c r="C870" s="10"/>
      <c r="D870" s="10"/>
      <c r="E870" s="10"/>
      <c r="F870" s="10"/>
      <c r="G870" s="3"/>
      <c r="H870" s="9"/>
      <c r="I870" s="9"/>
      <c r="J870" s="9"/>
      <c r="K870" s="10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3"/>
      <c r="AM870" s="3"/>
      <c r="AN870" s="10"/>
      <c r="AO870" s="3"/>
      <c r="AP870" s="3"/>
      <c r="AQ870" s="3"/>
      <c r="AR870" s="3"/>
      <c r="AS870" s="3"/>
      <c r="AT870" s="3"/>
      <c r="AU870" s="3"/>
      <c r="AV870" s="3"/>
    </row>
    <row r="871" spans="1:48" ht="15.4" x14ac:dyDescent="0.35">
      <c r="A871" s="9"/>
      <c r="B871" s="3"/>
      <c r="C871" s="10"/>
      <c r="D871" s="10"/>
      <c r="E871" s="10"/>
      <c r="F871" s="10"/>
      <c r="G871" s="3"/>
      <c r="H871" s="9"/>
      <c r="I871" s="9"/>
      <c r="J871" s="9"/>
      <c r="K871" s="10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3"/>
      <c r="AM871" s="3"/>
      <c r="AN871" s="10"/>
      <c r="AO871" s="3"/>
      <c r="AP871" s="3"/>
      <c r="AQ871" s="3"/>
      <c r="AR871" s="3"/>
      <c r="AS871" s="3"/>
      <c r="AT871" s="3"/>
      <c r="AU871" s="3"/>
      <c r="AV871" s="3"/>
    </row>
    <row r="872" spans="1:48" ht="15.4" x14ac:dyDescent="0.35">
      <c r="A872" s="9"/>
      <c r="B872" s="3"/>
      <c r="C872" s="10"/>
      <c r="D872" s="10"/>
      <c r="E872" s="10"/>
      <c r="F872" s="10"/>
      <c r="G872" s="3"/>
      <c r="H872" s="9"/>
      <c r="I872" s="9"/>
      <c r="J872" s="9"/>
      <c r="K872" s="10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3"/>
      <c r="AM872" s="3"/>
      <c r="AN872" s="10"/>
      <c r="AO872" s="3"/>
      <c r="AP872" s="3"/>
      <c r="AQ872" s="3"/>
      <c r="AR872" s="3"/>
      <c r="AS872" s="3"/>
      <c r="AT872" s="3"/>
      <c r="AU872" s="3"/>
      <c r="AV872" s="3"/>
    </row>
    <row r="873" spans="1:48" ht="15.4" x14ac:dyDescent="0.35">
      <c r="A873" s="9"/>
      <c r="B873" s="3"/>
      <c r="C873" s="10"/>
      <c r="D873" s="10"/>
      <c r="E873" s="10"/>
      <c r="F873" s="10"/>
      <c r="G873" s="3"/>
      <c r="H873" s="9"/>
      <c r="I873" s="9"/>
      <c r="J873" s="9"/>
      <c r="K873" s="10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3"/>
      <c r="AM873" s="3"/>
      <c r="AN873" s="10"/>
      <c r="AO873" s="3"/>
      <c r="AP873" s="3"/>
      <c r="AQ873" s="3"/>
      <c r="AR873" s="3"/>
      <c r="AS873" s="3"/>
      <c r="AT873" s="3"/>
      <c r="AU873" s="3"/>
      <c r="AV873" s="3"/>
    </row>
    <row r="874" spans="1:48" ht="15.4" x14ac:dyDescent="0.35">
      <c r="A874" s="9"/>
      <c r="B874" s="3"/>
      <c r="C874" s="10"/>
      <c r="D874" s="10"/>
      <c r="E874" s="10"/>
      <c r="F874" s="10"/>
      <c r="G874" s="3"/>
      <c r="H874" s="9"/>
      <c r="I874" s="9"/>
      <c r="J874" s="9"/>
      <c r="K874" s="10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3"/>
      <c r="AM874" s="3"/>
      <c r="AN874" s="10"/>
      <c r="AO874" s="3"/>
      <c r="AP874" s="3"/>
      <c r="AQ874" s="3"/>
      <c r="AR874" s="3"/>
      <c r="AS874" s="3"/>
      <c r="AT874" s="3"/>
      <c r="AU874" s="3"/>
      <c r="AV874" s="3"/>
    </row>
    <row r="875" spans="1:48" ht="15.4" x14ac:dyDescent="0.35">
      <c r="A875" s="9"/>
      <c r="B875" s="3"/>
      <c r="C875" s="10"/>
      <c r="D875" s="10"/>
      <c r="E875" s="10"/>
      <c r="F875" s="10"/>
      <c r="G875" s="3"/>
      <c r="H875" s="9"/>
      <c r="I875" s="9"/>
      <c r="J875" s="9"/>
      <c r="K875" s="10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3"/>
      <c r="AM875" s="3"/>
      <c r="AN875" s="10"/>
      <c r="AO875" s="3"/>
      <c r="AP875" s="3"/>
      <c r="AQ875" s="3"/>
      <c r="AR875" s="3"/>
      <c r="AS875" s="3"/>
      <c r="AT875" s="3"/>
      <c r="AU875" s="3"/>
      <c r="AV875" s="3"/>
    </row>
    <row r="876" spans="1:48" ht="15.4" x14ac:dyDescent="0.35">
      <c r="A876" s="9"/>
      <c r="B876" s="3"/>
      <c r="C876" s="10"/>
      <c r="D876" s="10"/>
      <c r="E876" s="10"/>
      <c r="F876" s="10"/>
      <c r="G876" s="3"/>
      <c r="H876" s="9"/>
      <c r="I876" s="9"/>
      <c r="J876" s="9"/>
      <c r="K876" s="10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3"/>
      <c r="AM876" s="3"/>
      <c r="AN876" s="10"/>
      <c r="AO876" s="3"/>
      <c r="AP876" s="3"/>
      <c r="AQ876" s="3"/>
      <c r="AR876" s="3"/>
      <c r="AS876" s="3"/>
      <c r="AT876" s="3"/>
      <c r="AU876" s="3"/>
      <c r="AV876" s="3"/>
    </row>
    <row r="877" spans="1:48" ht="15.4" x14ac:dyDescent="0.35">
      <c r="A877" s="9"/>
      <c r="B877" s="3"/>
      <c r="C877" s="10"/>
      <c r="D877" s="10"/>
      <c r="E877" s="10"/>
      <c r="F877" s="10"/>
      <c r="G877" s="3"/>
      <c r="H877" s="9"/>
      <c r="I877" s="9"/>
      <c r="J877" s="9"/>
      <c r="K877" s="10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3"/>
      <c r="AM877" s="3"/>
      <c r="AN877" s="10"/>
      <c r="AO877" s="3"/>
      <c r="AP877" s="3"/>
      <c r="AQ877" s="3"/>
      <c r="AR877" s="3"/>
      <c r="AS877" s="3"/>
      <c r="AT877" s="3"/>
      <c r="AU877" s="3"/>
      <c r="AV877" s="3"/>
    </row>
    <row r="878" spans="1:48" ht="15.4" x14ac:dyDescent="0.35">
      <c r="A878" s="9"/>
      <c r="B878" s="3"/>
      <c r="C878" s="10"/>
      <c r="D878" s="10"/>
      <c r="E878" s="10"/>
      <c r="F878" s="10"/>
      <c r="G878" s="3"/>
      <c r="H878" s="9"/>
      <c r="I878" s="9"/>
      <c r="J878" s="9"/>
      <c r="K878" s="10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3"/>
      <c r="AM878" s="3"/>
      <c r="AN878" s="10"/>
      <c r="AO878" s="3"/>
      <c r="AP878" s="3"/>
      <c r="AQ878" s="3"/>
      <c r="AR878" s="3"/>
      <c r="AS878" s="3"/>
      <c r="AT878" s="3"/>
      <c r="AU878" s="3"/>
      <c r="AV878" s="3"/>
    </row>
    <row r="879" spans="1:48" ht="15.4" x14ac:dyDescent="0.35">
      <c r="A879" s="9"/>
      <c r="B879" s="3"/>
      <c r="C879" s="10"/>
      <c r="D879" s="10"/>
      <c r="E879" s="10"/>
      <c r="F879" s="10"/>
      <c r="G879" s="3"/>
      <c r="H879" s="9"/>
      <c r="I879" s="9"/>
      <c r="J879" s="9"/>
      <c r="K879" s="10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3"/>
      <c r="AM879" s="3"/>
      <c r="AN879" s="10"/>
      <c r="AO879" s="3"/>
      <c r="AP879" s="3"/>
      <c r="AQ879" s="3"/>
      <c r="AR879" s="3"/>
      <c r="AS879" s="3"/>
      <c r="AT879" s="3"/>
      <c r="AU879" s="3"/>
      <c r="AV879" s="3"/>
    </row>
    <row r="880" spans="1:48" ht="15.4" x14ac:dyDescent="0.35">
      <c r="A880" s="9"/>
      <c r="B880" s="3"/>
      <c r="C880" s="10"/>
      <c r="D880" s="10"/>
      <c r="E880" s="10"/>
      <c r="F880" s="10"/>
      <c r="G880" s="3"/>
      <c r="H880" s="9"/>
      <c r="I880" s="9"/>
      <c r="J880" s="9"/>
      <c r="K880" s="10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3"/>
      <c r="AM880" s="3"/>
      <c r="AN880" s="10"/>
      <c r="AO880" s="3"/>
      <c r="AP880" s="3"/>
      <c r="AQ880" s="3"/>
      <c r="AR880" s="3"/>
      <c r="AS880" s="3"/>
      <c r="AT880" s="3"/>
      <c r="AU880" s="3"/>
      <c r="AV880" s="3"/>
    </row>
    <row r="881" spans="1:48" ht="15.4" x14ac:dyDescent="0.35">
      <c r="A881" s="9"/>
      <c r="B881" s="3"/>
      <c r="C881" s="10"/>
      <c r="D881" s="10"/>
      <c r="E881" s="10"/>
      <c r="F881" s="10"/>
      <c r="G881" s="3"/>
      <c r="H881" s="9"/>
      <c r="I881" s="9"/>
      <c r="J881" s="9"/>
      <c r="K881" s="10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3"/>
      <c r="AM881" s="3"/>
      <c r="AN881" s="10"/>
      <c r="AO881" s="3"/>
      <c r="AP881" s="3"/>
      <c r="AQ881" s="3"/>
      <c r="AR881" s="3"/>
      <c r="AS881" s="3"/>
      <c r="AT881" s="3"/>
      <c r="AU881" s="3"/>
      <c r="AV881" s="3"/>
    </row>
    <row r="882" spans="1:48" ht="15.4" x14ac:dyDescent="0.35">
      <c r="A882" s="9"/>
      <c r="B882" s="3"/>
      <c r="C882" s="10"/>
      <c r="D882" s="10"/>
      <c r="E882" s="10"/>
      <c r="F882" s="10"/>
      <c r="G882" s="3"/>
      <c r="H882" s="9"/>
      <c r="I882" s="9"/>
      <c r="J882" s="9"/>
      <c r="K882" s="10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3"/>
      <c r="AM882" s="3"/>
      <c r="AN882" s="10"/>
      <c r="AO882" s="3"/>
      <c r="AP882" s="3"/>
      <c r="AQ882" s="3"/>
      <c r="AR882" s="3"/>
      <c r="AS882" s="3"/>
      <c r="AT882" s="3"/>
      <c r="AU882" s="3"/>
      <c r="AV882" s="3"/>
    </row>
    <row r="883" spans="1:48" ht="15.4" x14ac:dyDescent="0.35">
      <c r="A883" s="9"/>
      <c r="B883" s="3"/>
      <c r="C883" s="10"/>
      <c r="D883" s="10"/>
      <c r="E883" s="10"/>
      <c r="F883" s="10"/>
      <c r="G883" s="3"/>
      <c r="H883" s="9"/>
      <c r="I883" s="9"/>
      <c r="J883" s="9"/>
      <c r="K883" s="10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3"/>
      <c r="AM883" s="3"/>
      <c r="AN883" s="10"/>
      <c r="AO883" s="3"/>
      <c r="AP883" s="3"/>
      <c r="AQ883" s="3"/>
      <c r="AR883" s="3"/>
      <c r="AS883" s="3"/>
      <c r="AT883" s="3"/>
      <c r="AU883" s="3"/>
      <c r="AV883" s="3"/>
    </row>
    <row r="884" spans="1:48" ht="15.4" x14ac:dyDescent="0.35">
      <c r="A884" s="9"/>
      <c r="B884" s="3"/>
      <c r="C884" s="10"/>
      <c r="D884" s="10"/>
      <c r="E884" s="10"/>
      <c r="F884" s="10"/>
      <c r="G884" s="3"/>
      <c r="H884" s="9"/>
      <c r="I884" s="9"/>
      <c r="J884" s="9"/>
      <c r="K884" s="10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3"/>
      <c r="AM884" s="3"/>
      <c r="AN884" s="10"/>
      <c r="AO884" s="3"/>
      <c r="AP884" s="3"/>
      <c r="AQ884" s="3"/>
      <c r="AR884" s="3"/>
      <c r="AS884" s="3"/>
      <c r="AT884" s="3"/>
      <c r="AU884" s="3"/>
      <c r="AV884" s="3"/>
    </row>
    <row r="885" spans="1:48" ht="15.4" x14ac:dyDescent="0.35">
      <c r="A885" s="9"/>
      <c r="B885" s="3"/>
      <c r="C885" s="10"/>
      <c r="D885" s="10"/>
      <c r="E885" s="10"/>
      <c r="F885" s="10"/>
      <c r="G885" s="3"/>
      <c r="H885" s="9"/>
      <c r="I885" s="9"/>
      <c r="J885" s="9"/>
      <c r="K885" s="10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3"/>
      <c r="AM885" s="3"/>
      <c r="AN885" s="10"/>
      <c r="AO885" s="3"/>
      <c r="AP885" s="3"/>
      <c r="AQ885" s="3"/>
      <c r="AR885" s="3"/>
      <c r="AS885" s="3"/>
      <c r="AT885" s="3"/>
      <c r="AU885" s="3"/>
      <c r="AV885" s="3"/>
    </row>
    <row r="886" spans="1:48" ht="15.4" x14ac:dyDescent="0.35">
      <c r="A886" s="9"/>
      <c r="B886" s="3"/>
      <c r="C886" s="10"/>
      <c r="D886" s="10"/>
      <c r="E886" s="10"/>
      <c r="F886" s="10"/>
      <c r="G886" s="3"/>
      <c r="H886" s="9"/>
      <c r="I886" s="9"/>
      <c r="J886" s="9"/>
      <c r="K886" s="10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3"/>
      <c r="AM886" s="3"/>
      <c r="AN886" s="10"/>
      <c r="AO886" s="3"/>
      <c r="AP886" s="3"/>
      <c r="AQ886" s="3"/>
      <c r="AR886" s="3"/>
      <c r="AS886" s="3"/>
      <c r="AT886" s="3"/>
      <c r="AU886" s="3"/>
      <c r="AV886" s="3"/>
    </row>
    <row r="887" spans="1:48" ht="15.4" x14ac:dyDescent="0.35">
      <c r="A887" s="9"/>
      <c r="B887" s="3"/>
      <c r="C887" s="10"/>
      <c r="D887" s="10"/>
      <c r="E887" s="10"/>
      <c r="F887" s="10"/>
      <c r="G887" s="3"/>
      <c r="H887" s="9"/>
      <c r="I887" s="9"/>
      <c r="J887" s="9"/>
      <c r="K887" s="10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3"/>
      <c r="AM887" s="3"/>
      <c r="AN887" s="10"/>
      <c r="AO887" s="3"/>
      <c r="AP887" s="3"/>
      <c r="AQ887" s="3"/>
      <c r="AR887" s="3"/>
      <c r="AS887" s="3"/>
      <c r="AT887" s="3"/>
      <c r="AU887" s="3"/>
      <c r="AV887" s="3"/>
    </row>
    <row r="888" spans="1:48" ht="15.4" x14ac:dyDescent="0.35">
      <c r="A888" s="9"/>
      <c r="B888" s="3"/>
      <c r="C888" s="10"/>
      <c r="D888" s="10"/>
      <c r="E888" s="10"/>
      <c r="F888" s="10"/>
      <c r="G888" s="3"/>
      <c r="H888" s="9"/>
      <c r="I888" s="9"/>
      <c r="J888" s="9"/>
      <c r="K888" s="10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3"/>
      <c r="AM888" s="3"/>
      <c r="AN888" s="10"/>
      <c r="AO888" s="3"/>
      <c r="AP888" s="3"/>
      <c r="AQ888" s="3"/>
      <c r="AR888" s="3"/>
      <c r="AS888" s="3"/>
      <c r="AT888" s="3"/>
      <c r="AU888" s="3"/>
      <c r="AV888" s="3"/>
    </row>
    <row r="889" spans="1:48" ht="15.4" x14ac:dyDescent="0.35">
      <c r="A889" s="9"/>
      <c r="B889" s="3"/>
      <c r="C889" s="10"/>
      <c r="D889" s="10"/>
      <c r="E889" s="10"/>
      <c r="F889" s="10"/>
      <c r="G889" s="3"/>
      <c r="H889" s="9"/>
      <c r="I889" s="9"/>
      <c r="J889" s="9"/>
      <c r="K889" s="10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3"/>
      <c r="AM889" s="3"/>
      <c r="AN889" s="10"/>
      <c r="AO889" s="3"/>
      <c r="AP889" s="3"/>
      <c r="AQ889" s="3"/>
      <c r="AR889" s="3"/>
      <c r="AS889" s="3"/>
      <c r="AT889" s="3"/>
      <c r="AU889" s="3"/>
      <c r="AV889" s="3"/>
    </row>
    <row r="890" spans="1:48" ht="15.4" x14ac:dyDescent="0.35">
      <c r="A890" s="9"/>
      <c r="B890" s="3"/>
      <c r="C890" s="10"/>
      <c r="D890" s="10"/>
      <c r="E890" s="10"/>
      <c r="F890" s="10"/>
      <c r="G890" s="3"/>
      <c r="H890" s="9"/>
      <c r="I890" s="9"/>
      <c r="J890" s="9"/>
      <c r="K890" s="10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3"/>
      <c r="AM890" s="3"/>
      <c r="AN890" s="10"/>
      <c r="AO890" s="3"/>
      <c r="AP890" s="3"/>
      <c r="AQ890" s="3"/>
      <c r="AR890" s="3"/>
      <c r="AS890" s="3"/>
      <c r="AT890" s="3"/>
      <c r="AU890" s="3"/>
      <c r="AV890" s="3"/>
    </row>
    <row r="891" spans="1:48" ht="15.4" x14ac:dyDescent="0.35">
      <c r="A891" s="9"/>
      <c r="B891" s="3"/>
      <c r="C891" s="10"/>
      <c r="D891" s="10"/>
      <c r="E891" s="10"/>
      <c r="F891" s="10"/>
      <c r="G891" s="3"/>
      <c r="H891" s="9"/>
      <c r="I891" s="9"/>
      <c r="J891" s="9"/>
      <c r="K891" s="10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3"/>
      <c r="AM891" s="3"/>
      <c r="AN891" s="10"/>
      <c r="AO891" s="3"/>
      <c r="AP891" s="3"/>
      <c r="AQ891" s="3"/>
      <c r="AR891" s="3"/>
      <c r="AS891" s="3"/>
      <c r="AT891" s="3"/>
      <c r="AU891" s="3"/>
      <c r="AV891" s="3"/>
    </row>
    <row r="892" spans="1:48" ht="15.4" x14ac:dyDescent="0.35">
      <c r="A892" s="9"/>
      <c r="B892" s="3"/>
      <c r="C892" s="10"/>
      <c r="D892" s="10"/>
      <c r="E892" s="10"/>
      <c r="F892" s="10"/>
      <c r="G892" s="3"/>
      <c r="H892" s="9"/>
      <c r="I892" s="9"/>
      <c r="J892" s="9"/>
      <c r="K892" s="10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3"/>
      <c r="AM892" s="3"/>
      <c r="AN892" s="10"/>
      <c r="AO892" s="3"/>
      <c r="AP892" s="3"/>
      <c r="AQ892" s="3"/>
      <c r="AR892" s="3"/>
      <c r="AS892" s="3"/>
      <c r="AT892" s="3"/>
      <c r="AU892" s="3"/>
      <c r="AV892" s="3"/>
    </row>
    <row r="893" spans="1:48" ht="15.4" x14ac:dyDescent="0.35">
      <c r="A893" s="9"/>
      <c r="B893" s="3"/>
      <c r="C893" s="10"/>
      <c r="D893" s="10"/>
      <c r="E893" s="10"/>
      <c r="F893" s="10"/>
      <c r="G893" s="3"/>
      <c r="H893" s="9"/>
      <c r="I893" s="9"/>
      <c r="J893" s="9"/>
      <c r="K893" s="10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3"/>
      <c r="AM893" s="3"/>
      <c r="AN893" s="10"/>
      <c r="AO893" s="3"/>
      <c r="AP893" s="3"/>
      <c r="AQ893" s="3"/>
      <c r="AR893" s="3"/>
      <c r="AS893" s="3"/>
      <c r="AT893" s="3"/>
      <c r="AU893" s="3"/>
      <c r="AV893" s="3"/>
    </row>
    <row r="894" spans="1:48" ht="15.4" x14ac:dyDescent="0.35">
      <c r="A894" s="9"/>
      <c r="B894" s="3"/>
      <c r="C894" s="10"/>
      <c r="D894" s="10"/>
      <c r="E894" s="10"/>
      <c r="F894" s="10"/>
      <c r="G894" s="3"/>
      <c r="H894" s="9"/>
      <c r="I894" s="9"/>
      <c r="J894" s="9"/>
      <c r="K894" s="10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3"/>
      <c r="AM894" s="3"/>
      <c r="AN894" s="10"/>
      <c r="AO894" s="3"/>
      <c r="AP894" s="3"/>
      <c r="AQ894" s="3"/>
      <c r="AR894" s="3"/>
      <c r="AS894" s="3"/>
      <c r="AT894" s="3"/>
      <c r="AU894" s="3"/>
      <c r="AV894" s="3"/>
    </row>
    <row r="895" spans="1:48" ht="15.4" x14ac:dyDescent="0.35">
      <c r="A895" s="9"/>
      <c r="B895" s="3"/>
      <c r="C895" s="10"/>
      <c r="D895" s="10"/>
      <c r="E895" s="10"/>
      <c r="F895" s="10"/>
      <c r="G895" s="3"/>
      <c r="H895" s="9"/>
      <c r="I895" s="9"/>
      <c r="J895" s="9"/>
      <c r="K895" s="10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3"/>
      <c r="AM895" s="3"/>
      <c r="AN895" s="10"/>
      <c r="AO895" s="3"/>
      <c r="AP895" s="3"/>
      <c r="AQ895" s="3"/>
      <c r="AR895" s="3"/>
      <c r="AS895" s="3"/>
      <c r="AT895" s="3"/>
      <c r="AU895" s="3"/>
      <c r="AV895" s="3"/>
    </row>
    <row r="896" spans="1:48" ht="15.4" x14ac:dyDescent="0.35">
      <c r="A896" s="9"/>
      <c r="B896" s="3"/>
      <c r="C896" s="10"/>
      <c r="D896" s="10"/>
      <c r="E896" s="10"/>
      <c r="F896" s="10"/>
      <c r="G896" s="3"/>
      <c r="H896" s="9"/>
      <c r="I896" s="9"/>
      <c r="J896" s="9"/>
      <c r="K896" s="10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3"/>
      <c r="AM896" s="3"/>
      <c r="AN896" s="10"/>
      <c r="AO896" s="3"/>
      <c r="AP896" s="3"/>
      <c r="AQ896" s="3"/>
      <c r="AR896" s="3"/>
      <c r="AS896" s="3"/>
      <c r="AT896" s="3"/>
      <c r="AU896" s="3"/>
      <c r="AV896" s="3"/>
    </row>
    <row r="897" spans="1:48" ht="15.4" x14ac:dyDescent="0.35">
      <c r="A897" s="9"/>
      <c r="B897" s="3"/>
      <c r="C897" s="10"/>
      <c r="D897" s="10"/>
      <c r="E897" s="10"/>
      <c r="F897" s="10"/>
      <c r="G897" s="3"/>
      <c r="H897" s="9"/>
      <c r="I897" s="9"/>
      <c r="J897" s="9"/>
      <c r="K897" s="10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3"/>
      <c r="AM897" s="3"/>
      <c r="AN897" s="10"/>
      <c r="AO897" s="3"/>
      <c r="AP897" s="3"/>
      <c r="AQ897" s="3"/>
      <c r="AR897" s="3"/>
      <c r="AS897" s="3"/>
      <c r="AT897" s="3"/>
      <c r="AU897" s="3"/>
      <c r="AV897" s="3"/>
    </row>
    <row r="898" spans="1:48" ht="15.4" x14ac:dyDescent="0.35">
      <c r="A898" s="9"/>
      <c r="B898" s="3"/>
      <c r="C898" s="10"/>
      <c r="D898" s="10"/>
      <c r="E898" s="10"/>
      <c r="F898" s="10"/>
      <c r="G898" s="3"/>
      <c r="H898" s="9"/>
      <c r="I898" s="9"/>
      <c r="J898" s="9"/>
      <c r="K898" s="10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3"/>
      <c r="AM898" s="3"/>
      <c r="AN898" s="10"/>
      <c r="AO898" s="3"/>
      <c r="AP898" s="3"/>
      <c r="AQ898" s="3"/>
      <c r="AR898" s="3"/>
      <c r="AS898" s="3"/>
      <c r="AT898" s="3"/>
      <c r="AU898" s="3"/>
      <c r="AV898" s="3"/>
    </row>
    <row r="899" spans="1:48" ht="15.4" x14ac:dyDescent="0.35">
      <c r="A899" s="9"/>
      <c r="B899" s="3"/>
      <c r="C899" s="10"/>
      <c r="D899" s="10"/>
      <c r="E899" s="10"/>
      <c r="F899" s="10"/>
      <c r="G899" s="3"/>
      <c r="H899" s="9"/>
      <c r="I899" s="9"/>
      <c r="J899" s="9"/>
      <c r="K899" s="10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3"/>
      <c r="AM899" s="3"/>
      <c r="AN899" s="10"/>
      <c r="AO899" s="3"/>
      <c r="AP899" s="3"/>
      <c r="AQ899" s="3"/>
      <c r="AR899" s="3"/>
      <c r="AS899" s="3"/>
      <c r="AT899" s="3"/>
      <c r="AU899" s="3"/>
      <c r="AV899" s="3"/>
    </row>
    <row r="900" spans="1:48" ht="15.4" x14ac:dyDescent="0.35">
      <c r="A900" s="9"/>
      <c r="B900" s="3"/>
      <c r="C900" s="10"/>
      <c r="D900" s="10"/>
      <c r="E900" s="10"/>
      <c r="F900" s="10"/>
      <c r="G900" s="3"/>
      <c r="H900" s="9"/>
      <c r="I900" s="9"/>
      <c r="J900" s="9"/>
      <c r="K900" s="10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3"/>
      <c r="AM900" s="3"/>
      <c r="AN900" s="10"/>
      <c r="AO900" s="3"/>
      <c r="AP900" s="3"/>
      <c r="AQ900" s="3"/>
      <c r="AR900" s="3"/>
      <c r="AS900" s="3"/>
      <c r="AT900" s="3"/>
      <c r="AU900" s="3"/>
      <c r="AV900" s="3"/>
    </row>
    <row r="901" spans="1:48" ht="15.4" x14ac:dyDescent="0.35">
      <c r="A901" s="9"/>
      <c r="B901" s="3"/>
      <c r="C901" s="10"/>
      <c r="D901" s="10"/>
      <c r="E901" s="10"/>
      <c r="F901" s="10"/>
      <c r="G901" s="3"/>
      <c r="H901" s="9"/>
      <c r="I901" s="9"/>
      <c r="J901" s="9"/>
      <c r="K901" s="10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3"/>
      <c r="AM901" s="3"/>
      <c r="AN901" s="10"/>
      <c r="AO901" s="3"/>
      <c r="AP901" s="3"/>
      <c r="AQ901" s="3"/>
      <c r="AR901" s="3"/>
      <c r="AS901" s="3"/>
      <c r="AT901" s="3"/>
      <c r="AU901" s="3"/>
      <c r="AV901" s="3"/>
    </row>
    <row r="902" spans="1:48" ht="15.4" x14ac:dyDescent="0.35">
      <c r="A902" s="9"/>
      <c r="B902" s="3"/>
      <c r="C902" s="10"/>
      <c r="D902" s="10"/>
      <c r="E902" s="10"/>
      <c r="F902" s="10"/>
      <c r="G902" s="3"/>
      <c r="H902" s="9"/>
      <c r="I902" s="9"/>
      <c r="J902" s="9"/>
      <c r="K902" s="10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3"/>
      <c r="AM902" s="3"/>
      <c r="AN902" s="10"/>
      <c r="AO902" s="3"/>
      <c r="AP902" s="3"/>
      <c r="AQ902" s="3"/>
      <c r="AR902" s="3"/>
      <c r="AS902" s="3"/>
      <c r="AT902" s="3"/>
      <c r="AU902" s="3"/>
      <c r="AV902" s="3"/>
    </row>
    <row r="903" spans="1:48" ht="15.4" x14ac:dyDescent="0.35">
      <c r="A903" s="9"/>
      <c r="B903" s="3"/>
      <c r="C903" s="10"/>
      <c r="D903" s="10"/>
      <c r="E903" s="10"/>
      <c r="F903" s="10"/>
      <c r="G903" s="3"/>
      <c r="H903" s="9"/>
      <c r="I903" s="9"/>
      <c r="J903" s="9"/>
      <c r="K903" s="10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3"/>
      <c r="AM903" s="3"/>
      <c r="AN903" s="10"/>
      <c r="AO903" s="3"/>
      <c r="AP903" s="3"/>
      <c r="AQ903" s="3"/>
      <c r="AR903" s="3"/>
      <c r="AS903" s="3"/>
      <c r="AT903" s="3"/>
      <c r="AU903" s="3"/>
      <c r="AV903" s="3"/>
    </row>
    <row r="904" spans="1:48" ht="15.4" x14ac:dyDescent="0.35">
      <c r="A904" s="9"/>
      <c r="B904" s="3"/>
      <c r="C904" s="10"/>
      <c r="D904" s="10"/>
      <c r="E904" s="10"/>
      <c r="F904" s="10"/>
      <c r="G904" s="3"/>
      <c r="H904" s="9"/>
      <c r="I904" s="9"/>
      <c r="J904" s="9"/>
      <c r="K904" s="10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3"/>
      <c r="AM904" s="3"/>
      <c r="AN904" s="10"/>
      <c r="AO904" s="3"/>
      <c r="AP904" s="3"/>
      <c r="AQ904" s="3"/>
      <c r="AR904" s="3"/>
      <c r="AS904" s="3"/>
      <c r="AT904" s="3"/>
      <c r="AU904" s="3"/>
      <c r="AV904" s="3"/>
    </row>
    <row r="905" spans="1:48" ht="15.4" x14ac:dyDescent="0.35">
      <c r="A905" s="9"/>
      <c r="B905" s="3"/>
      <c r="C905" s="10"/>
      <c r="D905" s="10"/>
      <c r="E905" s="10"/>
      <c r="F905" s="10"/>
      <c r="G905" s="3"/>
      <c r="H905" s="9"/>
      <c r="I905" s="9"/>
      <c r="J905" s="9"/>
      <c r="K905" s="10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3"/>
      <c r="AM905" s="3"/>
      <c r="AN905" s="10"/>
      <c r="AO905" s="3"/>
      <c r="AP905" s="3"/>
      <c r="AQ905" s="3"/>
      <c r="AR905" s="3"/>
      <c r="AS905" s="3"/>
      <c r="AT905" s="3"/>
      <c r="AU905" s="3"/>
      <c r="AV905" s="3"/>
    </row>
    <row r="906" spans="1:48" ht="15.4" x14ac:dyDescent="0.35">
      <c r="A906" s="9"/>
      <c r="B906" s="3"/>
      <c r="C906" s="10"/>
      <c r="D906" s="10"/>
      <c r="E906" s="10"/>
      <c r="F906" s="10"/>
      <c r="G906" s="3"/>
      <c r="H906" s="9"/>
      <c r="I906" s="9"/>
      <c r="J906" s="9"/>
      <c r="K906" s="10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3"/>
      <c r="AM906" s="3"/>
      <c r="AN906" s="10"/>
      <c r="AO906" s="3"/>
      <c r="AP906" s="3"/>
      <c r="AQ906" s="3"/>
      <c r="AR906" s="3"/>
      <c r="AS906" s="3"/>
      <c r="AT906" s="3"/>
      <c r="AU906" s="3"/>
      <c r="AV906" s="3"/>
    </row>
    <row r="907" spans="1:48" ht="15.4" x14ac:dyDescent="0.35">
      <c r="A907" s="9"/>
      <c r="B907" s="3"/>
      <c r="C907" s="10"/>
      <c r="D907" s="10"/>
      <c r="E907" s="10"/>
      <c r="F907" s="10"/>
      <c r="G907" s="3"/>
      <c r="H907" s="9"/>
      <c r="I907" s="9"/>
      <c r="J907" s="9"/>
      <c r="K907" s="10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3"/>
      <c r="AM907" s="3"/>
      <c r="AN907" s="10"/>
      <c r="AO907" s="3"/>
      <c r="AP907" s="3"/>
      <c r="AQ907" s="3"/>
      <c r="AR907" s="3"/>
      <c r="AS907" s="3"/>
      <c r="AT907" s="3"/>
      <c r="AU907" s="3"/>
      <c r="AV907" s="3"/>
    </row>
    <row r="908" spans="1:48" ht="15.4" x14ac:dyDescent="0.35">
      <c r="A908" s="9"/>
      <c r="B908" s="3"/>
      <c r="C908" s="10"/>
      <c r="D908" s="10"/>
      <c r="E908" s="10"/>
      <c r="F908" s="10"/>
      <c r="G908" s="3"/>
      <c r="H908" s="9"/>
      <c r="I908" s="9"/>
      <c r="J908" s="9"/>
      <c r="K908" s="10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3"/>
      <c r="AM908" s="3"/>
      <c r="AN908" s="10"/>
      <c r="AO908" s="3"/>
      <c r="AP908" s="3"/>
      <c r="AQ908" s="3"/>
      <c r="AR908" s="3"/>
      <c r="AS908" s="3"/>
      <c r="AT908" s="3"/>
      <c r="AU908" s="3"/>
      <c r="AV908" s="3"/>
    </row>
    <row r="909" spans="1:48" ht="15.4" x14ac:dyDescent="0.35">
      <c r="A909" s="9"/>
      <c r="B909" s="3"/>
      <c r="C909" s="10"/>
      <c r="D909" s="10"/>
      <c r="E909" s="10"/>
      <c r="F909" s="10"/>
      <c r="G909" s="3"/>
      <c r="H909" s="9"/>
      <c r="I909" s="9"/>
      <c r="J909" s="9"/>
      <c r="K909" s="10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3"/>
      <c r="AM909" s="3"/>
      <c r="AN909" s="10"/>
      <c r="AO909" s="3"/>
      <c r="AP909" s="3"/>
      <c r="AQ909" s="3"/>
      <c r="AR909" s="3"/>
      <c r="AS909" s="3"/>
      <c r="AT909" s="3"/>
      <c r="AU909" s="3"/>
      <c r="AV909" s="3"/>
    </row>
    <row r="910" spans="1:48" ht="15.4" x14ac:dyDescent="0.35">
      <c r="A910" s="9"/>
      <c r="B910" s="3"/>
      <c r="C910" s="10"/>
      <c r="D910" s="10"/>
      <c r="E910" s="10"/>
      <c r="F910" s="10"/>
      <c r="G910" s="3"/>
      <c r="H910" s="9"/>
      <c r="I910" s="9"/>
      <c r="J910" s="9"/>
      <c r="K910" s="10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3"/>
      <c r="AM910" s="3"/>
      <c r="AN910" s="10"/>
      <c r="AO910" s="3"/>
      <c r="AP910" s="3"/>
      <c r="AQ910" s="3"/>
      <c r="AR910" s="3"/>
      <c r="AS910" s="3"/>
      <c r="AT910" s="3"/>
      <c r="AU910" s="3"/>
      <c r="AV910" s="3"/>
    </row>
    <row r="911" spans="1:48" ht="15.4" x14ac:dyDescent="0.35">
      <c r="A911" s="9"/>
      <c r="B911" s="3"/>
      <c r="C911" s="10"/>
      <c r="D911" s="10"/>
      <c r="E911" s="10"/>
      <c r="F911" s="10"/>
      <c r="G911" s="3"/>
      <c r="H911" s="9"/>
      <c r="I911" s="9"/>
      <c r="J911" s="9"/>
      <c r="K911" s="10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3"/>
      <c r="AM911" s="3"/>
      <c r="AN911" s="10"/>
      <c r="AO911" s="3"/>
      <c r="AP911" s="3"/>
      <c r="AQ911" s="3"/>
      <c r="AR911" s="3"/>
      <c r="AS911" s="3"/>
      <c r="AT911" s="3"/>
      <c r="AU911" s="3"/>
      <c r="AV911" s="3"/>
    </row>
    <row r="912" spans="1:48" ht="15.4" x14ac:dyDescent="0.35">
      <c r="A912" s="9"/>
      <c r="B912" s="3"/>
      <c r="C912" s="10"/>
      <c r="D912" s="10"/>
      <c r="E912" s="10"/>
      <c r="F912" s="10"/>
      <c r="G912" s="3"/>
      <c r="H912" s="9"/>
      <c r="I912" s="9"/>
      <c r="J912" s="9"/>
      <c r="K912" s="10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3"/>
      <c r="AM912" s="3"/>
      <c r="AN912" s="10"/>
      <c r="AO912" s="3"/>
      <c r="AP912" s="3"/>
      <c r="AQ912" s="3"/>
      <c r="AR912" s="3"/>
      <c r="AS912" s="3"/>
      <c r="AT912" s="3"/>
      <c r="AU912" s="3"/>
      <c r="AV912" s="3"/>
    </row>
    <row r="913" spans="1:48" ht="15.4" x14ac:dyDescent="0.35">
      <c r="A913" s="9"/>
      <c r="B913" s="3"/>
      <c r="C913" s="10"/>
      <c r="D913" s="10"/>
      <c r="E913" s="10"/>
      <c r="F913" s="10"/>
      <c r="G913" s="3"/>
      <c r="H913" s="9"/>
      <c r="I913" s="9"/>
      <c r="J913" s="9"/>
      <c r="K913" s="10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3"/>
      <c r="AM913" s="3"/>
      <c r="AN913" s="10"/>
      <c r="AO913" s="3"/>
      <c r="AP913" s="3"/>
      <c r="AQ913" s="3"/>
      <c r="AR913" s="3"/>
      <c r="AS913" s="3"/>
      <c r="AT913" s="3"/>
      <c r="AU913" s="3"/>
      <c r="AV913" s="3"/>
    </row>
    <row r="914" spans="1:48" ht="15.4" x14ac:dyDescent="0.35">
      <c r="A914" s="9"/>
      <c r="B914" s="3"/>
      <c r="C914" s="10"/>
      <c r="D914" s="10"/>
      <c r="E914" s="10"/>
      <c r="F914" s="10"/>
      <c r="G914" s="3"/>
      <c r="H914" s="9"/>
      <c r="I914" s="9"/>
      <c r="J914" s="9"/>
      <c r="K914" s="10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3"/>
      <c r="AM914" s="3"/>
      <c r="AN914" s="10"/>
      <c r="AO914" s="3"/>
      <c r="AP914" s="3"/>
      <c r="AQ914" s="3"/>
      <c r="AR914" s="3"/>
      <c r="AS914" s="3"/>
      <c r="AT914" s="3"/>
      <c r="AU914" s="3"/>
      <c r="AV914" s="3"/>
    </row>
    <row r="915" spans="1:48" ht="15.4" x14ac:dyDescent="0.35">
      <c r="A915" s="9"/>
      <c r="B915" s="3"/>
      <c r="C915" s="10"/>
      <c r="D915" s="10"/>
      <c r="E915" s="10"/>
      <c r="F915" s="10"/>
      <c r="G915" s="3"/>
      <c r="H915" s="9"/>
      <c r="I915" s="9"/>
      <c r="J915" s="9"/>
      <c r="K915" s="10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3"/>
      <c r="AM915" s="3"/>
      <c r="AN915" s="10"/>
      <c r="AO915" s="3"/>
      <c r="AP915" s="3"/>
      <c r="AQ915" s="3"/>
      <c r="AR915" s="3"/>
      <c r="AS915" s="3"/>
      <c r="AT915" s="3"/>
      <c r="AU915" s="3"/>
      <c r="AV915" s="3"/>
    </row>
    <row r="916" spans="1:48" ht="15.4" x14ac:dyDescent="0.35">
      <c r="A916" s="9"/>
      <c r="B916" s="3"/>
      <c r="C916" s="10"/>
      <c r="D916" s="10"/>
      <c r="E916" s="10"/>
      <c r="F916" s="10"/>
      <c r="G916" s="3"/>
      <c r="H916" s="9"/>
      <c r="I916" s="9"/>
      <c r="J916" s="9"/>
      <c r="K916" s="10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3"/>
      <c r="AM916" s="3"/>
      <c r="AN916" s="10"/>
      <c r="AO916" s="3"/>
      <c r="AP916" s="3"/>
      <c r="AQ916" s="3"/>
      <c r="AR916" s="3"/>
      <c r="AS916" s="3"/>
      <c r="AT916" s="3"/>
      <c r="AU916" s="3"/>
      <c r="AV916" s="3"/>
    </row>
    <row r="917" spans="1:48" ht="15.4" x14ac:dyDescent="0.35">
      <c r="A917" s="9"/>
      <c r="B917" s="3"/>
      <c r="C917" s="10"/>
      <c r="D917" s="10"/>
      <c r="E917" s="10"/>
      <c r="F917" s="10"/>
      <c r="G917" s="3"/>
      <c r="H917" s="9"/>
      <c r="I917" s="9"/>
      <c r="J917" s="9"/>
      <c r="K917" s="10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3"/>
      <c r="AM917" s="3"/>
      <c r="AN917" s="10"/>
      <c r="AO917" s="3"/>
      <c r="AP917" s="3"/>
      <c r="AQ917" s="3"/>
      <c r="AR917" s="3"/>
      <c r="AS917" s="3"/>
      <c r="AT917" s="3"/>
      <c r="AU917" s="3"/>
      <c r="AV917" s="3"/>
    </row>
    <row r="918" spans="1:48" ht="15.4" x14ac:dyDescent="0.35">
      <c r="A918" s="9"/>
      <c r="B918" s="3"/>
      <c r="C918" s="10"/>
      <c r="D918" s="10"/>
      <c r="E918" s="10"/>
      <c r="F918" s="10"/>
      <c r="G918" s="3"/>
      <c r="H918" s="9"/>
      <c r="I918" s="9"/>
      <c r="J918" s="9"/>
      <c r="K918" s="10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3"/>
      <c r="AM918" s="3"/>
      <c r="AN918" s="10"/>
      <c r="AO918" s="3"/>
      <c r="AP918" s="3"/>
      <c r="AQ918" s="3"/>
      <c r="AR918" s="3"/>
      <c r="AS918" s="3"/>
      <c r="AT918" s="3"/>
      <c r="AU918" s="3"/>
      <c r="AV918" s="3"/>
    </row>
    <row r="919" spans="1:48" ht="15.4" x14ac:dyDescent="0.35">
      <c r="A919" s="9"/>
      <c r="B919" s="3"/>
      <c r="C919" s="10"/>
      <c r="D919" s="10"/>
      <c r="E919" s="10"/>
      <c r="F919" s="10"/>
      <c r="G919" s="3"/>
      <c r="H919" s="9"/>
      <c r="I919" s="9"/>
      <c r="J919" s="9"/>
      <c r="K919" s="10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3"/>
      <c r="AM919" s="3"/>
      <c r="AN919" s="10"/>
      <c r="AO919" s="3"/>
      <c r="AP919" s="3"/>
      <c r="AQ919" s="3"/>
      <c r="AR919" s="3"/>
      <c r="AS919" s="3"/>
      <c r="AT919" s="3"/>
      <c r="AU919" s="3"/>
      <c r="AV919" s="3"/>
    </row>
    <row r="920" spans="1:48" ht="15.4" x14ac:dyDescent="0.35">
      <c r="A920" s="9"/>
      <c r="B920" s="3"/>
      <c r="C920" s="10"/>
      <c r="D920" s="10"/>
      <c r="E920" s="10"/>
      <c r="F920" s="10"/>
      <c r="G920" s="3"/>
      <c r="H920" s="9"/>
      <c r="I920" s="9"/>
      <c r="J920" s="9"/>
      <c r="K920" s="10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3"/>
      <c r="AM920" s="3"/>
      <c r="AN920" s="10"/>
      <c r="AO920" s="3"/>
      <c r="AP920" s="3"/>
      <c r="AQ920" s="3"/>
      <c r="AR920" s="3"/>
      <c r="AS920" s="3"/>
      <c r="AT920" s="3"/>
      <c r="AU920" s="3"/>
      <c r="AV920" s="3"/>
    </row>
    <row r="921" spans="1:48" ht="15.4" x14ac:dyDescent="0.35">
      <c r="A921" s="9"/>
      <c r="B921" s="3"/>
      <c r="C921" s="10"/>
      <c r="D921" s="10"/>
      <c r="E921" s="10"/>
      <c r="F921" s="10"/>
      <c r="G921" s="3"/>
      <c r="H921" s="9"/>
      <c r="I921" s="9"/>
      <c r="J921" s="9"/>
      <c r="K921" s="10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3"/>
      <c r="AM921" s="3"/>
      <c r="AN921" s="10"/>
      <c r="AO921" s="3"/>
      <c r="AP921" s="3"/>
      <c r="AQ921" s="3"/>
      <c r="AR921" s="3"/>
      <c r="AS921" s="3"/>
      <c r="AT921" s="3"/>
      <c r="AU921" s="3"/>
      <c r="AV921" s="3"/>
    </row>
    <row r="922" spans="1:48" ht="15.4" x14ac:dyDescent="0.35">
      <c r="A922" s="9"/>
      <c r="B922" s="3"/>
      <c r="C922" s="10"/>
      <c r="D922" s="10"/>
      <c r="E922" s="10"/>
      <c r="F922" s="10"/>
      <c r="G922" s="3"/>
      <c r="H922" s="9"/>
      <c r="I922" s="9"/>
      <c r="J922" s="9"/>
      <c r="K922" s="10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3"/>
      <c r="AM922" s="3"/>
      <c r="AN922" s="10"/>
      <c r="AO922" s="3"/>
      <c r="AP922" s="3"/>
      <c r="AQ922" s="3"/>
      <c r="AR922" s="3"/>
      <c r="AS922" s="3"/>
      <c r="AT922" s="3"/>
      <c r="AU922" s="3"/>
      <c r="AV922" s="3"/>
    </row>
    <row r="923" spans="1:48" ht="15.4" x14ac:dyDescent="0.35">
      <c r="A923" s="9"/>
      <c r="B923" s="3"/>
      <c r="C923" s="10"/>
      <c r="D923" s="10"/>
      <c r="E923" s="10"/>
      <c r="F923" s="10"/>
      <c r="G923" s="3"/>
      <c r="H923" s="9"/>
      <c r="I923" s="9"/>
      <c r="J923" s="9"/>
      <c r="K923" s="10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3"/>
      <c r="AM923" s="3"/>
      <c r="AN923" s="10"/>
      <c r="AO923" s="3"/>
      <c r="AP923" s="3"/>
      <c r="AQ923" s="3"/>
      <c r="AR923" s="3"/>
      <c r="AS923" s="3"/>
      <c r="AT923" s="3"/>
      <c r="AU923" s="3"/>
      <c r="AV923" s="3"/>
    </row>
    <row r="924" spans="1:48" ht="15.4" x14ac:dyDescent="0.35">
      <c r="A924" s="9"/>
      <c r="B924" s="3"/>
      <c r="C924" s="10"/>
      <c r="D924" s="10"/>
      <c r="E924" s="10"/>
      <c r="F924" s="10"/>
      <c r="G924" s="3"/>
      <c r="H924" s="9"/>
      <c r="I924" s="9"/>
      <c r="J924" s="9"/>
      <c r="K924" s="10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3"/>
      <c r="AM924" s="3"/>
      <c r="AN924" s="10"/>
      <c r="AO924" s="3"/>
      <c r="AP924" s="3"/>
      <c r="AQ924" s="3"/>
      <c r="AR924" s="3"/>
      <c r="AS924" s="3"/>
      <c r="AT924" s="3"/>
      <c r="AU924" s="3"/>
      <c r="AV924" s="3"/>
    </row>
    <row r="925" spans="1:48" ht="15.4" x14ac:dyDescent="0.35">
      <c r="A925" s="9"/>
      <c r="B925" s="3"/>
      <c r="C925" s="10"/>
      <c r="D925" s="10"/>
      <c r="E925" s="10"/>
      <c r="F925" s="10"/>
      <c r="G925" s="3"/>
      <c r="H925" s="9"/>
      <c r="I925" s="9"/>
      <c r="J925" s="9"/>
      <c r="K925" s="10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3"/>
      <c r="AM925" s="3"/>
      <c r="AN925" s="10"/>
      <c r="AO925" s="3"/>
      <c r="AP925" s="3"/>
      <c r="AQ925" s="3"/>
      <c r="AR925" s="3"/>
      <c r="AS925" s="3"/>
      <c r="AT925" s="3"/>
      <c r="AU925" s="3"/>
      <c r="AV925" s="3"/>
    </row>
    <row r="926" spans="1:48" ht="15.4" x14ac:dyDescent="0.35">
      <c r="A926" s="9"/>
      <c r="B926" s="3"/>
      <c r="C926" s="10"/>
      <c r="D926" s="10"/>
      <c r="E926" s="10"/>
      <c r="F926" s="10"/>
      <c r="G926" s="3"/>
      <c r="H926" s="9"/>
      <c r="I926" s="9"/>
      <c r="J926" s="9"/>
      <c r="K926" s="10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3"/>
      <c r="AM926" s="3"/>
      <c r="AN926" s="10"/>
      <c r="AO926" s="3"/>
      <c r="AP926" s="3"/>
      <c r="AQ926" s="3"/>
      <c r="AR926" s="3"/>
      <c r="AS926" s="3"/>
      <c r="AT926" s="3"/>
      <c r="AU926" s="3"/>
      <c r="AV926" s="3"/>
    </row>
    <row r="927" spans="1:48" ht="15.4" x14ac:dyDescent="0.35">
      <c r="A927" s="9"/>
      <c r="B927" s="3"/>
      <c r="C927" s="10"/>
      <c r="D927" s="10"/>
      <c r="E927" s="10"/>
      <c r="F927" s="10"/>
      <c r="G927" s="3"/>
      <c r="H927" s="9"/>
      <c r="I927" s="9"/>
      <c r="J927" s="9"/>
      <c r="K927" s="10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3"/>
      <c r="AM927" s="3"/>
      <c r="AN927" s="10"/>
      <c r="AO927" s="3"/>
      <c r="AP927" s="3"/>
      <c r="AQ927" s="3"/>
      <c r="AR927" s="3"/>
      <c r="AS927" s="3"/>
      <c r="AT927" s="3"/>
      <c r="AU927" s="3"/>
      <c r="AV927" s="3"/>
    </row>
    <row r="928" spans="1:48" ht="15.4" x14ac:dyDescent="0.35">
      <c r="A928" s="9"/>
      <c r="B928" s="3"/>
      <c r="C928" s="10"/>
      <c r="D928" s="10"/>
      <c r="E928" s="10"/>
      <c r="F928" s="10"/>
      <c r="G928" s="3"/>
      <c r="H928" s="9"/>
      <c r="I928" s="9"/>
      <c r="J928" s="9"/>
      <c r="K928" s="10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3"/>
      <c r="AM928" s="3"/>
      <c r="AN928" s="10"/>
      <c r="AO928" s="3"/>
      <c r="AP928" s="3"/>
      <c r="AQ928" s="3"/>
      <c r="AR928" s="3"/>
      <c r="AS928" s="3"/>
      <c r="AT928" s="3"/>
      <c r="AU928" s="3"/>
      <c r="AV928" s="3"/>
    </row>
    <row r="929" spans="1:48" ht="15.4" x14ac:dyDescent="0.35">
      <c r="A929" s="9"/>
      <c r="B929" s="3"/>
      <c r="C929" s="10"/>
      <c r="D929" s="10"/>
      <c r="E929" s="10"/>
      <c r="F929" s="10"/>
      <c r="G929" s="3"/>
      <c r="H929" s="9"/>
      <c r="I929" s="9"/>
      <c r="J929" s="9"/>
      <c r="K929" s="10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3"/>
      <c r="AM929" s="3"/>
      <c r="AN929" s="10"/>
      <c r="AO929" s="3"/>
      <c r="AP929" s="3"/>
      <c r="AQ929" s="3"/>
      <c r="AR929" s="3"/>
      <c r="AS929" s="3"/>
      <c r="AT929" s="3"/>
      <c r="AU929" s="3"/>
      <c r="AV929" s="3"/>
    </row>
    <row r="930" spans="1:48" ht="15.4" x14ac:dyDescent="0.35">
      <c r="A930" s="9"/>
      <c r="B930" s="3"/>
      <c r="C930" s="10"/>
      <c r="D930" s="10"/>
      <c r="E930" s="10"/>
      <c r="F930" s="10"/>
      <c r="G930" s="3"/>
      <c r="H930" s="9"/>
      <c r="I930" s="9"/>
      <c r="J930" s="9"/>
      <c r="K930" s="10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3"/>
      <c r="AM930" s="3"/>
      <c r="AN930" s="10"/>
      <c r="AO930" s="3"/>
      <c r="AP930" s="3"/>
      <c r="AQ930" s="3"/>
      <c r="AR930" s="3"/>
      <c r="AS930" s="3"/>
      <c r="AT930" s="3"/>
      <c r="AU930" s="3"/>
      <c r="AV930" s="3"/>
    </row>
    <row r="931" spans="1:48" ht="15.4" x14ac:dyDescent="0.35">
      <c r="A931" s="9"/>
      <c r="B931" s="3"/>
      <c r="C931" s="10"/>
      <c r="D931" s="10"/>
      <c r="E931" s="10"/>
      <c r="F931" s="10"/>
      <c r="G931" s="3"/>
      <c r="H931" s="9"/>
      <c r="I931" s="9"/>
      <c r="J931" s="9"/>
      <c r="K931" s="10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3"/>
      <c r="AM931" s="3"/>
      <c r="AN931" s="10"/>
      <c r="AO931" s="3"/>
      <c r="AP931" s="3"/>
      <c r="AQ931" s="3"/>
      <c r="AR931" s="3"/>
      <c r="AS931" s="3"/>
      <c r="AT931" s="3"/>
      <c r="AU931" s="3"/>
      <c r="AV931" s="3"/>
    </row>
    <row r="932" spans="1:48" ht="15.4" x14ac:dyDescent="0.35">
      <c r="A932" s="9"/>
      <c r="B932" s="3"/>
      <c r="C932" s="10"/>
      <c r="D932" s="10"/>
      <c r="E932" s="10"/>
      <c r="F932" s="10"/>
      <c r="G932" s="3"/>
      <c r="H932" s="9"/>
      <c r="I932" s="9"/>
      <c r="J932" s="9"/>
      <c r="K932" s="10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3"/>
      <c r="AM932" s="3"/>
      <c r="AN932" s="10"/>
      <c r="AO932" s="3"/>
      <c r="AP932" s="3"/>
      <c r="AQ932" s="3"/>
      <c r="AR932" s="3"/>
      <c r="AS932" s="3"/>
      <c r="AT932" s="3"/>
      <c r="AU932" s="3"/>
      <c r="AV932" s="3"/>
    </row>
    <row r="933" spans="1:48" ht="15.4" x14ac:dyDescent="0.35">
      <c r="A933" s="9"/>
      <c r="B933" s="3"/>
      <c r="C933" s="10"/>
      <c r="D933" s="10"/>
      <c r="E933" s="10"/>
      <c r="F933" s="10"/>
      <c r="G933" s="3"/>
      <c r="H933" s="9"/>
      <c r="I933" s="9"/>
      <c r="J933" s="9"/>
      <c r="K933" s="10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3"/>
      <c r="AM933" s="3"/>
      <c r="AN933" s="10"/>
      <c r="AO933" s="3"/>
      <c r="AP933" s="3"/>
      <c r="AQ933" s="3"/>
      <c r="AR933" s="3"/>
      <c r="AS933" s="3"/>
      <c r="AT933" s="3"/>
      <c r="AU933" s="3"/>
      <c r="AV933" s="3"/>
    </row>
    <row r="934" spans="1:48" ht="15.4" x14ac:dyDescent="0.35">
      <c r="A934" s="9"/>
      <c r="B934" s="3"/>
      <c r="C934" s="10"/>
      <c r="D934" s="10"/>
      <c r="E934" s="10"/>
      <c r="F934" s="10"/>
      <c r="G934" s="3"/>
      <c r="H934" s="9"/>
      <c r="I934" s="9"/>
      <c r="J934" s="9"/>
      <c r="K934" s="10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3"/>
      <c r="AM934" s="3"/>
      <c r="AN934" s="10"/>
      <c r="AO934" s="3"/>
      <c r="AP934" s="3"/>
      <c r="AQ934" s="3"/>
      <c r="AR934" s="3"/>
      <c r="AS934" s="3"/>
      <c r="AT934" s="3"/>
      <c r="AU934" s="3"/>
      <c r="AV934" s="3"/>
    </row>
    <row r="935" spans="1:48" ht="15.4" x14ac:dyDescent="0.35">
      <c r="A935" s="9"/>
      <c r="B935" s="3"/>
      <c r="C935" s="10"/>
      <c r="D935" s="10"/>
      <c r="E935" s="10"/>
      <c r="F935" s="10"/>
      <c r="G935" s="3"/>
      <c r="H935" s="9"/>
      <c r="I935" s="9"/>
      <c r="J935" s="9"/>
      <c r="K935" s="10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3"/>
      <c r="AM935" s="3"/>
      <c r="AN935" s="10"/>
      <c r="AO935" s="3"/>
      <c r="AP935" s="3"/>
      <c r="AQ935" s="3"/>
      <c r="AR935" s="3"/>
      <c r="AS935" s="3"/>
      <c r="AT935" s="3"/>
      <c r="AU935" s="3"/>
      <c r="AV935" s="3"/>
    </row>
    <row r="936" spans="1:48" ht="15.4" x14ac:dyDescent="0.35">
      <c r="A936" s="9"/>
      <c r="B936" s="3"/>
      <c r="C936" s="10"/>
      <c r="D936" s="10"/>
      <c r="E936" s="10"/>
      <c r="F936" s="10"/>
      <c r="G936" s="3"/>
      <c r="H936" s="9"/>
      <c r="I936" s="9"/>
      <c r="J936" s="9"/>
      <c r="K936" s="10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3"/>
      <c r="AM936" s="3"/>
      <c r="AN936" s="10"/>
      <c r="AO936" s="3"/>
      <c r="AP936" s="3"/>
      <c r="AQ936" s="3"/>
      <c r="AR936" s="3"/>
      <c r="AS936" s="3"/>
      <c r="AT936" s="3"/>
      <c r="AU936" s="3"/>
      <c r="AV936" s="3"/>
    </row>
    <row r="937" spans="1:48" ht="15.4" x14ac:dyDescent="0.35">
      <c r="A937" s="9"/>
      <c r="B937" s="3"/>
      <c r="C937" s="10"/>
      <c r="D937" s="10"/>
      <c r="E937" s="10"/>
      <c r="F937" s="10"/>
      <c r="G937" s="3"/>
      <c r="H937" s="9"/>
      <c r="I937" s="9"/>
      <c r="J937" s="9"/>
      <c r="K937" s="10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3"/>
      <c r="AM937" s="3"/>
      <c r="AN937" s="10"/>
      <c r="AO937" s="3"/>
      <c r="AP937" s="3"/>
      <c r="AQ937" s="3"/>
      <c r="AR937" s="3"/>
      <c r="AS937" s="3"/>
      <c r="AT937" s="3"/>
      <c r="AU937" s="3"/>
      <c r="AV937" s="3"/>
    </row>
    <row r="938" spans="1:48" ht="15.4" x14ac:dyDescent="0.35">
      <c r="A938" s="9"/>
      <c r="B938" s="3"/>
      <c r="C938" s="10"/>
      <c r="D938" s="10"/>
      <c r="E938" s="10"/>
      <c r="F938" s="10"/>
      <c r="G938" s="3"/>
      <c r="H938" s="9"/>
      <c r="I938" s="9"/>
      <c r="J938" s="9"/>
      <c r="K938" s="10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3"/>
      <c r="AM938" s="3"/>
      <c r="AN938" s="10"/>
      <c r="AO938" s="3"/>
      <c r="AP938" s="3"/>
      <c r="AQ938" s="3"/>
      <c r="AR938" s="3"/>
      <c r="AS938" s="3"/>
      <c r="AT938" s="3"/>
      <c r="AU938" s="3"/>
      <c r="AV938" s="3"/>
    </row>
    <row r="939" spans="1:48" ht="15.4" x14ac:dyDescent="0.35">
      <c r="A939" s="9"/>
      <c r="B939" s="3"/>
      <c r="C939" s="10"/>
      <c r="D939" s="10"/>
      <c r="E939" s="10"/>
      <c r="F939" s="10"/>
      <c r="G939" s="3"/>
      <c r="H939" s="9"/>
      <c r="I939" s="9"/>
      <c r="J939" s="9"/>
      <c r="K939" s="10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3"/>
      <c r="AM939" s="3"/>
      <c r="AN939" s="10"/>
      <c r="AO939" s="3"/>
      <c r="AP939" s="3"/>
      <c r="AQ939" s="3"/>
      <c r="AR939" s="3"/>
      <c r="AS939" s="3"/>
      <c r="AT939" s="3"/>
      <c r="AU939" s="3"/>
      <c r="AV939" s="3"/>
    </row>
    <row r="940" spans="1:48" ht="15.4" x14ac:dyDescent="0.35">
      <c r="A940" s="9"/>
      <c r="B940" s="3"/>
      <c r="C940" s="10"/>
      <c r="D940" s="10"/>
      <c r="E940" s="10"/>
      <c r="F940" s="10"/>
      <c r="G940" s="3"/>
      <c r="H940" s="9"/>
      <c r="I940" s="9"/>
      <c r="J940" s="9"/>
      <c r="K940" s="10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3"/>
      <c r="AM940" s="3"/>
      <c r="AN940" s="10"/>
      <c r="AO940" s="3"/>
      <c r="AP940" s="3"/>
      <c r="AQ940" s="3"/>
      <c r="AR940" s="3"/>
      <c r="AS940" s="3"/>
      <c r="AT940" s="3"/>
      <c r="AU940" s="3"/>
      <c r="AV940" s="3"/>
    </row>
    <row r="941" spans="1:48" ht="15.4" x14ac:dyDescent="0.35">
      <c r="A941" s="9"/>
      <c r="B941" s="3"/>
      <c r="C941" s="10"/>
      <c r="D941" s="10"/>
      <c r="E941" s="10"/>
      <c r="F941" s="10"/>
      <c r="G941" s="3"/>
      <c r="H941" s="9"/>
      <c r="I941" s="9"/>
      <c r="J941" s="9"/>
      <c r="K941" s="10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3"/>
      <c r="AM941" s="3"/>
      <c r="AN941" s="10"/>
      <c r="AO941" s="3"/>
      <c r="AP941" s="3"/>
      <c r="AQ941" s="3"/>
      <c r="AR941" s="3"/>
      <c r="AS941" s="3"/>
      <c r="AT941" s="3"/>
      <c r="AU941" s="3"/>
      <c r="AV941" s="3"/>
    </row>
    <row r="942" spans="1:48" ht="15.4" x14ac:dyDescent="0.35">
      <c r="A942" s="9"/>
      <c r="B942" s="3"/>
      <c r="C942" s="10"/>
      <c r="D942" s="10"/>
      <c r="E942" s="10"/>
      <c r="F942" s="10"/>
      <c r="G942" s="3"/>
      <c r="H942" s="9"/>
      <c r="I942" s="9"/>
      <c r="J942" s="9"/>
      <c r="K942" s="10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3"/>
      <c r="AM942" s="3"/>
      <c r="AN942" s="10"/>
      <c r="AO942" s="3"/>
      <c r="AP942" s="3"/>
      <c r="AQ942" s="3"/>
      <c r="AR942" s="3"/>
      <c r="AS942" s="3"/>
      <c r="AT942" s="3"/>
      <c r="AU942" s="3"/>
      <c r="AV942" s="3"/>
    </row>
    <row r="943" spans="1:48" ht="15.4" x14ac:dyDescent="0.35">
      <c r="A943" s="9"/>
      <c r="B943" s="3"/>
      <c r="C943" s="10"/>
      <c r="D943" s="10"/>
      <c r="E943" s="10"/>
      <c r="F943" s="10"/>
      <c r="G943" s="3"/>
      <c r="H943" s="9"/>
      <c r="I943" s="9"/>
      <c r="J943" s="9"/>
      <c r="K943" s="10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3"/>
      <c r="AM943" s="3"/>
      <c r="AN943" s="10"/>
      <c r="AO943" s="3"/>
      <c r="AP943" s="3"/>
      <c r="AQ943" s="3"/>
      <c r="AR943" s="3"/>
      <c r="AS943" s="3"/>
      <c r="AT943" s="3"/>
      <c r="AU943" s="3"/>
      <c r="AV943" s="3"/>
    </row>
    <row r="944" spans="1:48" ht="15.4" x14ac:dyDescent="0.35">
      <c r="A944" s="9"/>
      <c r="B944" s="3"/>
      <c r="C944" s="10"/>
      <c r="D944" s="10"/>
      <c r="E944" s="10"/>
      <c r="F944" s="10"/>
      <c r="G944" s="3"/>
      <c r="H944" s="9"/>
      <c r="I944" s="9"/>
      <c r="J944" s="9"/>
      <c r="K944" s="10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3"/>
      <c r="AM944" s="3"/>
      <c r="AN944" s="10"/>
      <c r="AO944" s="3"/>
      <c r="AP944" s="3"/>
      <c r="AQ944" s="3"/>
      <c r="AR944" s="3"/>
      <c r="AS944" s="3"/>
      <c r="AT944" s="3"/>
      <c r="AU944" s="3"/>
      <c r="AV944" s="3"/>
    </row>
    <row r="945" spans="1:48" ht="15.4" x14ac:dyDescent="0.35">
      <c r="A945" s="9"/>
      <c r="B945" s="3"/>
      <c r="C945" s="10"/>
      <c r="D945" s="10"/>
      <c r="E945" s="10"/>
      <c r="F945" s="10"/>
      <c r="G945" s="3"/>
      <c r="H945" s="9"/>
      <c r="I945" s="9"/>
      <c r="J945" s="9"/>
      <c r="K945" s="10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3"/>
      <c r="AM945" s="3"/>
      <c r="AN945" s="10"/>
      <c r="AO945" s="3"/>
      <c r="AP945" s="3"/>
      <c r="AQ945" s="3"/>
      <c r="AR945" s="3"/>
      <c r="AS945" s="3"/>
      <c r="AT945" s="3"/>
      <c r="AU945" s="3"/>
      <c r="AV945" s="3"/>
    </row>
    <row r="946" spans="1:48" ht="15.4" x14ac:dyDescent="0.35">
      <c r="A946" s="9"/>
      <c r="B946" s="3"/>
      <c r="C946" s="10"/>
      <c r="D946" s="10"/>
      <c r="E946" s="10"/>
      <c r="F946" s="10"/>
      <c r="G946" s="3"/>
      <c r="H946" s="9"/>
      <c r="I946" s="9"/>
      <c r="J946" s="9"/>
      <c r="K946" s="10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3"/>
      <c r="AM946" s="3"/>
      <c r="AN946" s="10"/>
      <c r="AO946" s="3"/>
      <c r="AP946" s="3"/>
      <c r="AQ946" s="3"/>
      <c r="AR946" s="3"/>
      <c r="AS946" s="3"/>
      <c r="AT946" s="3"/>
      <c r="AU946" s="3"/>
      <c r="AV946" s="3"/>
    </row>
    <row r="947" spans="1:48" ht="15.4" x14ac:dyDescent="0.35">
      <c r="A947" s="9"/>
      <c r="B947" s="3"/>
      <c r="C947" s="10"/>
      <c r="D947" s="10"/>
      <c r="E947" s="10"/>
      <c r="F947" s="10"/>
      <c r="G947" s="3"/>
      <c r="H947" s="9"/>
      <c r="I947" s="9"/>
      <c r="J947" s="9"/>
      <c r="K947" s="10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3"/>
      <c r="AM947" s="3"/>
      <c r="AN947" s="10"/>
      <c r="AO947" s="3"/>
      <c r="AP947" s="3"/>
      <c r="AQ947" s="3"/>
      <c r="AR947" s="3"/>
      <c r="AS947" s="3"/>
      <c r="AT947" s="3"/>
      <c r="AU947" s="3"/>
      <c r="AV947" s="3"/>
    </row>
    <row r="948" spans="1:48" ht="15.4" x14ac:dyDescent="0.35">
      <c r="A948" s="9"/>
      <c r="B948" s="3"/>
      <c r="C948" s="10"/>
      <c r="D948" s="10"/>
      <c r="E948" s="10"/>
      <c r="F948" s="10"/>
      <c r="G948" s="3"/>
      <c r="H948" s="9"/>
      <c r="I948" s="9"/>
      <c r="J948" s="9"/>
      <c r="K948" s="10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3"/>
      <c r="AM948" s="3"/>
      <c r="AN948" s="10"/>
      <c r="AO948" s="3"/>
      <c r="AP948" s="3"/>
      <c r="AQ948" s="3"/>
      <c r="AR948" s="3"/>
      <c r="AS948" s="3"/>
      <c r="AT948" s="3"/>
      <c r="AU948" s="3"/>
      <c r="AV948" s="3"/>
    </row>
    <row r="949" spans="1:48" ht="15.4" x14ac:dyDescent="0.35">
      <c r="A949" s="9"/>
      <c r="B949" s="3"/>
      <c r="C949" s="10"/>
      <c r="D949" s="10"/>
      <c r="E949" s="10"/>
      <c r="F949" s="10"/>
      <c r="G949" s="3"/>
      <c r="H949" s="9"/>
      <c r="I949" s="9"/>
      <c r="J949" s="9"/>
      <c r="K949" s="10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3"/>
      <c r="AM949" s="3"/>
      <c r="AN949" s="10"/>
      <c r="AO949" s="3"/>
      <c r="AP949" s="3"/>
      <c r="AQ949" s="3"/>
      <c r="AR949" s="3"/>
      <c r="AS949" s="3"/>
      <c r="AT949" s="3"/>
      <c r="AU949" s="3"/>
      <c r="AV949" s="3"/>
    </row>
    <row r="950" spans="1:48" ht="15.4" x14ac:dyDescent="0.35">
      <c r="A950" s="9"/>
      <c r="B950" s="3"/>
      <c r="C950" s="10"/>
      <c r="D950" s="10"/>
      <c r="E950" s="10"/>
      <c r="F950" s="10"/>
      <c r="G950" s="3"/>
      <c r="H950" s="9"/>
      <c r="I950" s="9"/>
      <c r="J950" s="9"/>
      <c r="K950" s="10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3"/>
      <c r="AM950" s="3"/>
      <c r="AN950" s="10"/>
      <c r="AO950" s="3"/>
      <c r="AP950" s="3"/>
      <c r="AQ950" s="3"/>
      <c r="AR950" s="3"/>
      <c r="AS950" s="3"/>
      <c r="AT950" s="3"/>
      <c r="AU950" s="3"/>
      <c r="AV950" s="3"/>
    </row>
    <row r="951" spans="1:48" ht="15.4" x14ac:dyDescent="0.35">
      <c r="A951" s="9"/>
      <c r="B951" s="3"/>
      <c r="C951" s="10"/>
      <c r="D951" s="10"/>
      <c r="E951" s="10"/>
      <c r="F951" s="10"/>
      <c r="G951" s="3"/>
      <c r="H951" s="9"/>
      <c r="I951" s="9"/>
      <c r="J951" s="9"/>
      <c r="K951" s="10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3"/>
      <c r="AM951" s="3"/>
      <c r="AN951" s="10"/>
      <c r="AO951" s="3"/>
      <c r="AP951" s="3"/>
      <c r="AQ951" s="3"/>
      <c r="AR951" s="3"/>
      <c r="AS951" s="3"/>
      <c r="AT951" s="3"/>
      <c r="AU951" s="3"/>
      <c r="AV951" s="3"/>
    </row>
    <row r="952" spans="1:48" ht="15.4" x14ac:dyDescent="0.35">
      <c r="A952" s="9"/>
      <c r="B952" s="3"/>
      <c r="C952" s="10"/>
      <c r="D952" s="10"/>
      <c r="E952" s="10"/>
      <c r="F952" s="10"/>
      <c r="G952" s="3"/>
      <c r="H952" s="9"/>
      <c r="I952" s="9"/>
      <c r="J952" s="9"/>
      <c r="K952" s="10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3"/>
      <c r="AM952" s="3"/>
      <c r="AN952" s="10"/>
      <c r="AO952" s="3"/>
      <c r="AP952" s="3"/>
      <c r="AQ952" s="3"/>
      <c r="AR952" s="3"/>
      <c r="AS952" s="3"/>
      <c r="AT952" s="3"/>
      <c r="AU952" s="3"/>
      <c r="AV952" s="3"/>
    </row>
    <row r="953" spans="1:48" ht="15.4" x14ac:dyDescent="0.35">
      <c r="A953" s="9"/>
      <c r="B953" s="3"/>
      <c r="C953" s="10"/>
      <c r="D953" s="10"/>
      <c r="E953" s="10"/>
      <c r="F953" s="10"/>
      <c r="G953" s="3"/>
      <c r="H953" s="9"/>
      <c r="I953" s="9"/>
      <c r="J953" s="9"/>
      <c r="K953" s="10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3"/>
      <c r="AM953" s="3"/>
      <c r="AN953" s="10"/>
      <c r="AO953" s="3"/>
      <c r="AP953" s="3"/>
      <c r="AQ953" s="3"/>
      <c r="AR953" s="3"/>
      <c r="AS953" s="3"/>
      <c r="AT953" s="3"/>
      <c r="AU953" s="3"/>
      <c r="AV953" s="3"/>
    </row>
    <row r="954" spans="1:48" ht="15.4" x14ac:dyDescent="0.35">
      <c r="A954" s="9"/>
      <c r="B954" s="3"/>
      <c r="C954" s="10"/>
      <c r="D954" s="10"/>
      <c r="E954" s="10"/>
      <c r="F954" s="10"/>
      <c r="G954" s="3"/>
      <c r="H954" s="9"/>
      <c r="I954" s="9"/>
      <c r="J954" s="9"/>
      <c r="K954" s="10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3"/>
      <c r="AM954" s="3"/>
      <c r="AN954" s="10"/>
      <c r="AO954" s="3"/>
      <c r="AP954" s="3"/>
      <c r="AQ954" s="3"/>
      <c r="AR954" s="3"/>
      <c r="AS954" s="3"/>
      <c r="AT954" s="3"/>
      <c r="AU954" s="3"/>
      <c r="AV954" s="3"/>
    </row>
    <row r="955" spans="1:48" ht="15.4" x14ac:dyDescent="0.35">
      <c r="A955" s="9"/>
      <c r="B955" s="3"/>
      <c r="C955" s="10"/>
      <c r="D955" s="10"/>
      <c r="E955" s="10"/>
      <c r="F955" s="10"/>
      <c r="G955" s="3"/>
      <c r="H955" s="9"/>
      <c r="I955" s="9"/>
      <c r="J955" s="9"/>
      <c r="K955" s="10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3"/>
      <c r="AM955" s="3"/>
      <c r="AN955" s="10"/>
      <c r="AO955" s="3"/>
      <c r="AP955" s="3"/>
      <c r="AQ955" s="3"/>
      <c r="AR955" s="3"/>
      <c r="AS955" s="3"/>
      <c r="AT955" s="3"/>
      <c r="AU955" s="3"/>
      <c r="AV955" s="3"/>
    </row>
    <row r="956" spans="1:48" ht="15.4" x14ac:dyDescent="0.35">
      <c r="A956" s="9"/>
      <c r="B956" s="3"/>
      <c r="C956" s="10"/>
      <c r="D956" s="10"/>
      <c r="E956" s="10"/>
      <c r="F956" s="10"/>
      <c r="G956" s="3"/>
      <c r="H956" s="9"/>
      <c r="I956" s="9"/>
      <c r="J956" s="9"/>
      <c r="K956" s="10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3"/>
      <c r="AM956" s="3"/>
      <c r="AN956" s="10"/>
      <c r="AO956" s="3"/>
      <c r="AP956" s="3"/>
      <c r="AQ956" s="3"/>
      <c r="AR956" s="3"/>
      <c r="AS956" s="3"/>
      <c r="AT956" s="3"/>
      <c r="AU956" s="3"/>
      <c r="AV956" s="3"/>
    </row>
    <row r="957" spans="1:48" ht="15.4" x14ac:dyDescent="0.35">
      <c r="A957" s="9"/>
      <c r="B957" s="3"/>
      <c r="C957" s="10"/>
      <c r="D957" s="10"/>
      <c r="E957" s="10"/>
      <c r="F957" s="10"/>
      <c r="G957" s="3"/>
      <c r="H957" s="9"/>
      <c r="I957" s="9"/>
      <c r="J957" s="9"/>
      <c r="K957" s="10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3"/>
      <c r="AM957" s="3"/>
      <c r="AN957" s="10"/>
      <c r="AO957" s="3"/>
      <c r="AP957" s="3"/>
      <c r="AQ957" s="3"/>
      <c r="AR957" s="3"/>
      <c r="AS957" s="3"/>
      <c r="AT957" s="3"/>
      <c r="AU957" s="3"/>
      <c r="AV957" s="3"/>
    </row>
    <row r="958" spans="1:48" ht="15.4" x14ac:dyDescent="0.35">
      <c r="A958" s="9"/>
      <c r="B958" s="3"/>
      <c r="C958" s="10"/>
      <c r="D958" s="10"/>
      <c r="E958" s="10"/>
      <c r="F958" s="10"/>
      <c r="G958" s="3"/>
      <c r="H958" s="9"/>
      <c r="I958" s="9"/>
      <c r="J958" s="9"/>
      <c r="K958" s="10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3"/>
      <c r="AM958" s="3"/>
      <c r="AN958" s="10"/>
      <c r="AO958" s="3"/>
      <c r="AP958" s="3"/>
      <c r="AQ958" s="3"/>
      <c r="AR958" s="3"/>
      <c r="AS958" s="3"/>
      <c r="AT958" s="3"/>
      <c r="AU958" s="3"/>
      <c r="AV958" s="3"/>
    </row>
    <row r="959" spans="1:48" ht="15.4" x14ac:dyDescent="0.35">
      <c r="A959" s="9"/>
      <c r="B959" s="3"/>
      <c r="C959" s="10"/>
      <c r="D959" s="10"/>
      <c r="E959" s="10"/>
      <c r="F959" s="10"/>
      <c r="G959" s="3"/>
      <c r="H959" s="9"/>
      <c r="I959" s="9"/>
      <c r="J959" s="9"/>
      <c r="K959" s="10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3"/>
      <c r="AM959" s="3"/>
      <c r="AN959" s="10"/>
      <c r="AO959" s="3"/>
      <c r="AP959" s="3"/>
      <c r="AQ959" s="3"/>
      <c r="AR959" s="3"/>
      <c r="AS959" s="3"/>
      <c r="AT959" s="3"/>
      <c r="AU959" s="3"/>
      <c r="AV959" s="3"/>
    </row>
    <row r="960" spans="1:48" ht="15.4" x14ac:dyDescent="0.35">
      <c r="A960" s="9"/>
      <c r="B960" s="3"/>
      <c r="C960" s="10"/>
      <c r="D960" s="10"/>
      <c r="E960" s="10"/>
      <c r="F960" s="10"/>
      <c r="G960" s="3"/>
      <c r="H960" s="9"/>
      <c r="I960" s="9"/>
      <c r="J960" s="9"/>
      <c r="K960" s="10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3"/>
      <c r="AM960" s="3"/>
      <c r="AN960" s="10"/>
      <c r="AO960" s="3"/>
      <c r="AP960" s="3"/>
      <c r="AQ960" s="3"/>
      <c r="AR960" s="3"/>
      <c r="AS960" s="3"/>
      <c r="AT960" s="3"/>
      <c r="AU960" s="3"/>
      <c r="AV960" s="3"/>
    </row>
    <row r="961" spans="1:48" ht="15.4" x14ac:dyDescent="0.35">
      <c r="A961" s="9"/>
      <c r="B961" s="3"/>
      <c r="C961" s="10"/>
      <c r="D961" s="10"/>
      <c r="E961" s="10"/>
      <c r="F961" s="10"/>
      <c r="G961" s="3"/>
      <c r="H961" s="9"/>
      <c r="I961" s="9"/>
      <c r="J961" s="9"/>
      <c r="K961" s="10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3"/>
      <c r="AM961" s="3"/>
      <c r="AN961" s="10"/>
      <c r="AO961" s="3"/>
      <c r="AP961" s="3"/>
      <c r="AQ961" s="3"/>
      <c r="AR961" s="3"/>
      <c r="AS961" s="3"/>
      <c r="AT961" s="3"/>
      <c r="AU961" s="3"/>
      <c r="AV961" s="3"/>
    </row>
    <row r="962" spans="1:48" ht="15.4" x14ac:dyDescent="0.35">
      <c r="A962" s="9"/>
      <c r="B962" s="3"/>
      <c r="C962" s="10"/>
      <c r="D962" s="10"/>
      <c r="E962" s="10"/>
      <c r="F962" s="10"/>
      <c r="G962" s="3"/>
      <c r="H962" s="9"/>
      <c r="I962" s="9"/>
      <c r="J962" s="9"/>
      <c r="K962" s="10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3"/>
      <c r="AM962" s="3"/>
      <c r="AN962" s="10"/>
      <c r="AO962" s="3"/>
      <c r="AP962" s="3"/>
      <c r="AQ962" s="3"/>
      <c r="AR962" s="3"/>
      <c r="AS962" s="3"/>
      <c r="AT962" s="3"/>
      <c r="AU962" s="3"/>
      <c r="AV962" s="3"/>
    </row>
    <row r="963" spans="1:48" ht="15.4" x14ac:dyDescent="0.35">
      <c r="A963" s="9"/>
      <c r="B963" s="3"/>
      <c r="C963" s="10"/>
      <c r="D963" s="10"/>
      <c r="E963" s="10"/>
      <c r="F963" s="10"/>
      <c r="G963" s="3"/>
      <c r="H963" s="9"/>
      <c r="I963" s="9"/>
      <c r="J963" s="9"/>
      <c r="K963" s="10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3"/>
      <c r="AM963" s="3"/>
      <c r="AN963" s="10"/>
      <c r="AO963" s="3"/>
      <c r="AP963" s="3"/>
      <c r="AQ963" s="3"/>
      <c r="AR963" s="3"/>
      <c r="AS963" s="3"/>
      <c r="AT963" s="3"/>
      <c r="AU963" s="3"/>
      <c r="AV963" s="3"/>
    </row>
    <row r="964" spans="1:48" ht="15.4" x14ac:dyDescent="0.35">
      <c r="A964" s="9"/>
      <c r="B964" s="3"/>
      <c r="C964" s="10"/>
      <c r="D964" s="10"/>
      <c r="E964" s="10"/>
      <c r="F964" s="10"/>
      <c r="G964" s="3"/>
      <c r="H964" s="9"/>
      <c r="I964" s="9"/>
      <c r="J964" s="9"/>
      <c r="K964" s="10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3"/>
      <c r="AM964" s="3"/>
      <c r="AN964" s="10"/>
      <c r="AO964" s="3"/>
      <c r="AP964" s="3"/>
      <c r="AQ964" s="3"/>
      <c r="AR964" s="3"/>
      <c r="AS964" s="3"/>
      <c r="AT964" s="3"/>
      <c r="AU964" s="3"/>
      <c r="AV964" s="3"/>
    </row>
    <row r="965" spans="1:48" ht="15.4" x14ac:dyDescent="0.35">
      <c r="A965" s="9"/>
      <c r="B965" s="3"/>
      <c r="C965" s="10"/>
      <c r="D965" s="10"/>
      <c r="E965" s="10"/>
      <c r="F965" s="10"/>
      <c r="G965" s="3"/>
      <c r="H965" s="9"/>
      <c r="I965" s="9"/>
      <c r="J965" s="9"/>
      <c r="K965" s="10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3"/>
      <c r="AM965" s="3"/>
      <c r="AN965" s="10"/>
      <c r="AO965" s="3"/>
      <c r="AP965" s="3"/>
      <c r="AQ965" s="3"/>
      <c r="AR965" s="3"/>
      <c r="AS965" s="3"/>
      <c r="AT965" s="3"/>
      <c r="AU965" s="3"/>
      <c r="AV965" s="3"/>
    </row>
    <row r="966" spans="1:48" ht="15.4" x14ac:dyDescent="0.35">
      <c r="A966" s="9"/>
      <c r="B966" s="3"/>
      <c r="C966" s="10"/>
      <c r="D966" s="10"/>
      <c r="E966" s="10"/>
      <c r="F966" s="10"/>
      <c r="G966" s="3"/>
      <c r="H966" s="9"/>
      <c r="I966" s="9"/>
      <c r="J966" s="9"/>
      <c r="K966" s="10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3"/>
      <c r="AM966" s="3"/>
      <c r="AN966" s="10"/>
      <c r="AO966" s="3"/>
      <c r="AP966" s="3"/>
      <c r="AQ966" s="3"/>
      <c r="AR966" s="3"/>
      <c r="AS966" s="3"/>
      <c r="AT966" s="3"/>
      <c r="AU966" s="3"/>
      <c r="AV966" s="3"/>
    </row>
    <row r="967" spans="1:48" ht="15.4" x14ac:dyDescent="0.35">
      <c r="A967" s="9"/>
      <c r="B967" s="3"/>
      <c r="C967" s="10"/>
      <c r="D967" s="10"/>
      <c r="E967" s="10"/>
      <c r="F967" s="10"/>
      <c r="G967" s="3"/>
      <c r="H967" s="9"/>
      <c r="I967" s="9"/>
      <c r="J967" s="9"/>
      <c r="K967" s="10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3"/>
      <c r="AM967" s="3"/>
      <c r="AN967" s="10"/>
      <c r="AO967" s="3"/>
      <c r="AP967" s="3"/>
      <c r="AQ967" s="3"/>
      <c r="AR967" s="3"/>
      <c r="AS967" s="3"/>
      <c r="AT967" s="3"/>
      <c r="AU967" s="3"/>
      <c r="AV967" s="3"/>
    </row>
    <row r="968" spans="1:48" ht="15.4" x14ac:dyDescent="0.35">
      <c r="A968" s="9"/>
      <c r="B968" s="3"/>
      <c r="C968" s="10"/>
      <c r="D968" s="10"/>
      <c r="E968" s="10"/>
      <c r="F968" s="10"/>
      <c r="G968" s="3"/>
      <c r="H968" s="9"/>
      <c r="I968" s="9"/>
      <c r="J968" s="9"/>
      <c r="K968" s="10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3"/>
      <c r="AM968" s="3"/>
      <c r="AN968" s="10"/>
      <c r="AO968" s="3"/>
      <c r="AP968" s="3"/>
      <c r="AQ968" s="3"/>
      <c r="AR968" s="3"/>
      <c r="AS968" s="3"/>
      <c r="AT968" s="3"/>
      <c r="AU968" s="3"/>
      <c r="AV968" s="3"/>
    </row>
    <row r="969" spans="1:48" ht="15.4" x14ac:dyDescent="0.35">
      <c r="A969" s="9"/>
      <c r="B969" s="3"/>
      <c r="C969" s="10"/>
      <c r="D969" s="10"/>
      <c r="E969" s="10"/>
      <c r="F969" s="10"/>
      <c r="G969" s="3"/>
      <c r="H969" s="9"/>
      <c r="I969" s="9"/>
      <c r="J969" s="9"/>
      <c r="K969" s="10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3"/>
      <c r="AM969" s="3"/>
      <c r="AN969" s="10"/>
      <c r="AO969" s="3"/>
      <c r="AP969" s="3"/>
      <c r="AQ969" s="3"/>
      <c r="AR969" s="3"/>
      <c r="AS969" s="3"/>
      <c r="AT969" s="3"/>
      <c r="AU969" s="3"/>
      <c r="AV969" s="3"/>
    </row>
    <row r="970" spans="1:48" ht="15.4" x14ac:dyDescent="0.35">
      <c r="A970" s="9"/>
      <c r="B970" s="3"/>
      <c r="C970" s="10"/>
      <c r="D970" s="10"/>
      <c r="E970" s="10"/>
      <c r="F970" s="10"/>
      <c r="G970" s="3"/>
      <c r="H970" s="9"/>
      <c r="I970" s="9"/>
      <c r="J970" s="9"/>
      <c r="K970" s="10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3"/>
      <c r="AM970" s="3"/>
      <c r="AN970" s="10"/>
      <c r="AO970" s="3"/>
      <c r="AP970" s="3"/>
      <c r="AQ970" s="3"/>
      <c r="AR970" s="3"/>
      <c r="AS970" s="3"/>
      <c r="AT970" s="3"/>
      <c r="AU970" s="3"/>
      <c r="AV970" s="3"/>
    </row>
    <row r="971" spans="1:48" ht="15.4" x14ac:dyDescent="0.35">
      <c r="A971" s="9"/>
      <c r="B971" s="3"/>
      <c r="C971" s="10"/>
      <c r="D971" s="10"/>
      <c r="E971" s="10"/>
      <c r="F971" s="10"/>
      <c r="G971" s="3"/>
      <c r="H971" s="9"/>
      <c r="I971" s="9"/>
      <c r="J971" s="9"/>
      <c r="K971" s="10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3"/>
      <c r="AM971" s="3"/>
      <c r="AN971" s="10"/>
      <c r="AO971" s="3"/>
      <c r="AP971" s="3"/>
      <c r="AQ971" s="3"/>
      <c r="AR971" s="3"/>
      <c r="AS971" s="3"/>
      <c r="AT971" s="3"/>
      <c r="AU971" s="3"/>
      <c r="AV971" s="3"/>
    </row>
    <row r="972" spans="1:48" ht="15.4" x14ac:dyDescent="0.35">
      <c r="A972" s="9"/>
      <c r="B972" s="3"/>
      <c r="C972" s="10"/>
      <c r="D972" s="10"/>
      <c r="E972" s="10"/>
      <c r="F972" s="10"/>
      <c r="G972" s="3"/>
      <c r="H972" s="9"/>
      <c r="I972" s="9"/>
      <c r="J972" s="9"/>
      <c r="K972" s="10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3"/>
      <c r="AM972" s="3"/>
      <c r="AN972" s="10"/>
      <c r="AO972" s="3"/>
      <c r="AP972" s="3"/>
      <c r="AQ972" s="3"/>
      <c r="AR972" s="3"/>
      <c r="AS972" s="3"/>
      <c r="AT972" s="3"/>
      <c r="AU972" s="3"/>
      <c r="AV972" s="3"/>
    </row>
    <row r="973" spans="1:48" ht="15.4" x14ac:dyDescent="0.35">
      <c r="A973" s="9"/>
      <c r="B973" s="3"/>
      <c r="C973" s="10"/>
      <c r="D973" s="10"/>
      <c r="E973" s="10"/>
      <c r="F973" s="10"/>
      <c r="G973" s="3"/>
      <c r="H973" s="9"/>
      <c r="I973" s="9"/>
      <c r="J973" s="9"/>
      <c r="K973" s="10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3"/>
      <c r="AM973" s="3"/>
      <c r="AN973" s="10"/>
      <c r="AO973" s="3"/>
      <c r="AP973" s="3"/>
      <c r="AQ973" s="3"/>
      <c r="AR973" s="3"/>
      <c r="AS973" s="3"/>
      <c r="AT973" s="3"/>
      <c r="AU973" s="3"/>
      <c r="AV973" s="3"/>
    </row>
    <row r="974" spans="1:48" ht="15.4" x14ac:dyDescent="0.35">
      <c r="A974" s="9"/>
      <c r="B974" s="3"/>
      <c r="C974" s="10"/>
      <c r="D974" s="10"/>
      <c r="E974" s="10"/>
      <c r="F974" s="10"/>
      <c r="G974" s="3"/>
      <c r="H974" s="9"/>
      <c r="I974" s="9"/>
      <c r="J974" s="9"/>
      <c r="K974" s="10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3"/>
      <c r="AM974" s="3"/>
      <c r="AN974" s="10"/>
      <c r="AO974" s="3"/>
      <c r="AP974" s="3"/>
      <c r="AQ974" s="3"/>
      <c r="AR974" s="3"/>
      <c r="AS974" s="3"/>
      <c r="AT974" s="3"/>
      <c r="AU974" s="3"/>
      <c r="AV974" s="3"/>
    </row>
    <row r="975" spans="1:48" ht="15.4" x14ac:dyDescent="0.35">
      <c r="A975" s="9"/>
      <c r="B975" s="3"/>
      <c r="C975" s="10"/>
      <c r="D975" s="10"/>
      <c r="E975" s="10"/>
      <c r="F975" s="10"/>
      <c r="G975" s="3"/>
      <c r="H975" s="9"/>
      <c r="I975" s="9"/>
      <c r="J975" s="9"/>
      <c r="K975" s="10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3"/>
      <c r="AM975" s="3"/>
      <c r="AN975" s="10"/>
      <c r="AO975" s="3"/>
      <c r="AP975" s="3"/>
      <c r="AQ975" s="3"/>
      <c r="AR975" s="3"/>
      <c r="AS975" s="3"/>
      <c r="AT975" s="3"/>
      <c r="AU975" s="3"/>
      <c r="AV975" s="3"/>
    </row>
    <row r="976" spans="1:48" ht="15.4" x14ac:dyDescent="0.35">
      <c r="A976" s="9"/>
      <c r="B976" s="3"/>
      <c r="C976" s="10"/>
      <c r="D976" s="10"/>
      <c r="E976" s="10"/>
      <c r="F976" s="10"/>
      <c r="G976" s="3"/>
      <c r="H976" s="9"/>
      <c r="I976" s="9"/>
      <c r="J976" s="9"/>
      <c r="K976" s="10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3"/>
      <c r="AM976" s="3"/>
      <c r="AN976" s="10"/>
      <c r="AO976" s="3"/>
      <c r="AP976" s="3"/>
      <c r="AQ976" s="3"/>
      <c r="AR976" s="3"/>
      <c r="AS976" s="3"/>
      <c r="AT976" s="3"/>
      <c r="AU976" s="3"/>
      <c r="AV976" s="3"/>
    </row>
    <row r="977" spans="1:48" ht="15.4" x14ac:dyDescent="0.35">
      <c r="A977" s="9"/>
      <c r="B977" s="3"/>
      <c r="C977" s="10"/>
      <c r="D977" s="10"/>
      <c r="E977" s="10"/>
      <c r="F977" s="10"/>
      <c r="G977" s="3"/>
      <c r="H977" s="9"/>
      <c r="I977" s="9"/>
      <c r="J977" s="9"/>
      <c r="K977" s="10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3"/>
      <c r="AM977" s="3"/>
      <c r="AN977" s="10"/>
      <c r="AO977" s="3"/>
      <c r="AP977" s="3"/>
      <c r="AQ977" s="3"/>
      <c r="AR977" s="3"/>
      <c r="AS977" s="3"/>
      <c r="AT977" s="3"/>
      <c r="AU977" s="3"/>
      <c r="AV977" s="3"/>
    </row>
    <row r="978" spans="1:48" ht="15.4" x14ac:dyDescent="0.35">
      <c r="A978" s="9"/>
      <c r="B978" s="3"/>
      <c r="C978" s="10"/>
      <c r="D978" s="10"/>
      <c r="E978" s="10"/>
      <c r="F978" s="10"/>
      <c r="G978" s="3"/>
      <c r="H978" s="9"/>
      <c r="I978" s="9"/>
      <c r="J978" s="9"/>
      <c r="K978" s="10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3"/>
      <c r="AM978" s="3"/>
      <c r="AN978" s="10"/>
      <c r="AO978" s="3"/>
      <c r="AP978" s="3"/>
      <c r="AQ978" s="3"/>
      <c r="AR978" s="3"/>
      <c r="AS978" s="3"/>
      <c r="AT978" s="3"/>
      <c r="AU978" s="3"/>
      <c r="AV978" s="3"/>
    </row>
    <row r="979" spans="1:48" ht="15.4" x14ac:dyDescent="0.35">
      <c r="A979" s="9"/>
      <c r="B979" s="3"/>
      <c r="C979" s="10"/>
      <c r="D979" s="10"/>
      <c r="E979" s="10"/>
      <c r="F979" s="10"/>
      <c r="G979" s="3"/>
      <c r="H979" s="9"/>
      <c r="I979" s="9"/>
      <c r="J979" s="9"/>
      <c r="K979" s="10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3"/>
      <c r="AM979" s="3"/>
      <c r="AN979" s="10"/>
      <c r="AO979" s="3"/>
      <c r="AP979" s="3"/>
      <c r="AQ979" s="3"/>
      <c r="AR979" s="3"/>
      <c r="AS979" s="3"/>
      <c r="AT979" s="3"/>
      <c r="AU979" s="3"/>
      <c r="AV979" s="3"/>
    </row>
    <row r="980" spans="1:48" ht="15.4" x14ac:dyDescent="0.35">
      <c r="A980" s="9"/>
      <c r="B980" s="3"/>
      <c r="C980" s="10"/>
      <c r="D980" s="10"/>
      <c r="E980" s="10"/>
      <c r="F980" s="10"/>
      <c r="G980" s="3"/>
      <c r="H980" s="9"/>
      <c r="I980" s="9"/>
      <c r="J980" s="9"/>
      <c r="K980" s="10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3"/>
      <c r="AM980" s="3"/>
      <c r="AN980" s="10"/>
      <c r="AO980" s="3"/>
      <c r="AP980" s="3"/>
      <c r="AQ980" s="3"/>
      <c r="AR980" s="3"/>
      <c r="AS980" s="3"/>
      <c r="AT980" s="3"/>
      <c r="AU980" s="3"/>
      <c r="AV980" s="3"/>
    </row>
    <row r="981" spans="1:48" ht="15.4" x14ac:dyDescent="0.35">
      <c r="A981" s="9"/>
      <c r="B981" s="3"/>
      <c r="C981" s="10"/>
      <c r="D981" s="10"/>
      <c r="E981" s="10"/>
      <c r="F981" s="10"/>
      <c r="G981" s="3"/>
      <c r="H981" s="9"/>
      <c r="I981" s="9"/>
      <c r="J981" s="9"/>
      <c r="K981" s="10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3"/>
      <c r="AM981" s="3"/>
      <c r="AN981" s="10"/>
      <c r="AO981" s="3"/>
      <c r="AP981" s="3"/>
      <c r="AQ981" s="3"/>
      <c r="AR981" s="3"/>
      <c r="AS981" s="3"/>
      <c r="AT981" s="3"/>
      <c r="AU981" s="3"/>
      <c r="AV981" s="3"/>
    </row>
    <row r="982" spans="1:48" ht="15.4" x14ac:dyDescent="0.35">
      <c r="A982" s="9"/>
      <c r="B982" s="3"/>
      <c r="C982" s="10"/>
      <c r="D982" s="10"/>
      <c r="E982" s="10"/>
      <c r="F982" s="10"/>
      <c r="G982" s="3"/>
      <c r="H982" s="9"/>
      <c r="I982" s="9"/>
      <c r="J982" s="9"/>
      <c r="K982" s="10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3"/>
      <c r="AM982" s="3"/>
      <c r="AN982" s="10"/>
      <c r="AO982" s="3"/>
      <c r="AP982" s="3"/>
      <c r="AQ982" s="3"/>
      <c r="AR982" s="3"/>
      <c r="AS982" s="3"/>
      <c r="AT982" s="3"/>
      <c r="AU982" s="3"/>
      <c r="AV982" s="3"/>
    </row>
    <row r="983" spans="1:48" ht="15.4" x14ac:dyDescent="0.35">
      <c r="A983" s="9"/>
      <c r="B983" s="3"/>
      <c r="C983" s="10"/>
      <c r="D983" s="10"/>
      <c r="E983" s="10"/>
      <c r="F983" s="10"/>
      <c r="G983" s="3"/>
      <c r="H983" s="9"/>
      <c r="I983" s="9"/>
      <c r="J983" s="9"/>
      <c r="K983" s="10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3"/>
      <c r="AM983" s="3"/>
      <c r="AN983" s="10"/>
      <c r="AO983" s="3"/>
      <c r="AP983" s="3"/>
      <c r="AQ983" s="3"/>
      <c r="AR983" s="3"/>
      <c r="AS983" s="3"/>
      <c r="AT983" s="3"/>
      <c r="AU983" s="3"/>
      <c r="AV983" s="3"/>
    </row>
    <row r="984" spans="1:48" ht="15.4" x14ac:dyDescent="0.35">
      <c r="A984" s="9"/>
      <c r="B984" s="3"/>
      <c r="C984" s="10"/>
      <c r="D984" s="10"/>
      <c r="E984" s="10"/>
      <c r="F984" s="10"/>
      <c r="G984" s="3"/>
      <c r="H984" s="9"/>
      <c r="I984" s="9"/>
      <c r="J984" s="9"/>
      <c r="K984" s="10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3"/>
      <c r="AM984" s="3"/>
      <c r="AN984" s="10"/>
      <c r="AO984" s="3"/>
      <c r="AP984" s="3"/>
      <c r="AQ984" s="3"/>
      <c r="AR984" s="3"/>
      <c r="AS984" s="3"/>
      <c r="AT984" s="3"/>
      <c r="AU984" s="3"/>
      <c r="AV984" s="3"/>
    </row>
    <row r="985" spans="1:48" ht="15.4" x14ac:dyDescent="0.35">
      <c r="A985" s="9"/>
      <c r="B985" s="3"/>
      <c r="C985" s="10"/>
      <c r="D985" s="10"/>
      <c r="E985" s="10"/>
      <c r="F985" s="10"/>
      <c r="G985" s="3"/>
      <c r="H985" s="9"/>
      <c r="I985" s="9"/>
      <c r="J985" s="9"/>
      <c r="K985" s="10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3"/>
      <c r="AM985" s="3"/>
      <c r="AN985" s="10"/>
      <c r="AO985" s="3"/>
      <c r="AP985" s="3"/>
      <c r="AQ985" s="3"/>
      <c r="AR985" s="3"/>
      <c r="AS985" s="3"/>
      <c r="AT985" s="3"/>
      <c r="AU985" s="3"/>
      <c r="AV985" s="3"/>
    </row>
    <row r="986" spans="1:48" ht="15.4" x14ac:dyDescent="0.35">
      <c r="A986" s="9"/>
      <c r="B986" s="3"/>
      <c r="C986" s="10"/>
      <c r="D986" s="10"/>
      <c r="E986" s="10"/>
      <c r="F986" s="10"/>
      <c r="G986" s="3"/>
      <c r="H986" s="9"/>
      <c r="I986" s="9"/>
      <c r="J986" s="9"/>
      <c r="K986" s="10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3"/>
      <c r="AM986" s="3"/>
      <c r="AN986" s="10"/>
      <c r="AO986" s="3"/>
      <c r="AP986" s="3"/>
      <c r="AQ986" s="3"/>
      <c r="AR986" s="3"/>
      <c r="AS986" s="3"/>
      <c r="AT986" s="3"/>
      <c r="AU986" s="3"/>
      <c r="AV986" s="3"/>
    </row>
    <row r="987" spans="1:48" ht="15.4" x14ac:dyDescent="0.35">
      <c r="A987" s="9"/>
      <c r="B987" s="3"/>
      <c r="C987" s="10"/>
      <c r="D987" s="10"/>
      <c r="E987" s="10"/>
      <c r="F987" s="10"/>
      <c r="G987" s="3"/>
      <c r="H987" s="9"/>
      <c r="I987" s="9"/>
      <c r="J987" s="9"/>
      <c r="K987" s="10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3"/>
      <c r="AM987" s="3"/>
      <c r="AN987" s="10"/>
      <c r="AO987" s="3"/>
      <c r="AP987" s="3"/>
      <c r="AQ987" s="3"/>
      <c r="AR987" s="3"/>
      <c r="AS987" s="3"/>
      <c r="AT987" s="3"/>
      <c r="AU987" s="3"/>
      <c r="AV987" s="3"/>
    </row>
    <row r="988" spans="1:48" ht="15.4" x14ac:dyDescent="0.35">
      <c r="A988" s="9"/>
      <c r="B988" s="3"/>
      <c r="C988" s="10"/>
      <c r="D988" s="10"/>
      <c r="E988" s="10"/>
      <c r="F988" s="10"/>
      <c r="G988" s="3"/>
      <c r="H988" s="9"/>
      <c r="I988" s="9"/>
      <c r="J988" s="9"/>
      <c r="K988" s="10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3"/>
      <c r="AM988" s="3"/>
      <c r="AN988" s="10"/>
      <c r="AO988" s="3"/>
      <c r="AP988" s="3"/>
      <c r="AQ988" s="3"/>
      <c r="AR988" s="3"/>
      <c r="AS988" s="3"/>
      <c r="AT988" s="3"/>
      <c r="AU988" s="3"/>
      <c r="AV988" s="3"/>
    </row>
    <row r="989" spans="1:48" ht="15.4" x14ac:dyDescent="0.35">
      <c r="A989" s="9"/>
      <c r="B989" s="3"/>
      <c r="C989" s="10"/>
      <c r="D989" s="10"/>
      <c r="E989" s="10"/>
      <c r="F989" s="10"/>
      <c r="G989" s="3"/>
      <c r="H989" s="9"/>
      <c r="I989" s="9"/>
      <c r="J989" s="9"/>
      <c r="K989" s="10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3"/>
      <c r="AM989" s="3"/>
      <c r="AN989" s="10"/>
      <c r="AO989" s="3"/>
      <c r="AP989" s="3"/>
      <c r="AQ989" s="3"/>
      <c r="AR989" s="3"/>
      <c r="AS989" s="3"/>
      <c r="AT989" s="3"/>
      <c r="AU989" s="3"/>
      <c r="AV989" s="3"/>
    </row>
    <row r="990" spans="1:48" ht="15.4" x14ac:dyDescent="0.35">
      <c r="A990" s="9"/>
      <c r="B990" s="3"/>
      <c r="C990" s="10"/>
      <c r="D990" s="10"/>
      <c r="E990" s="10"/>
      <c r="F990" s="10"/>
      <c r="G990" s="3"/>
      <c r="H990" s="9"/>
      <c r="I990" s="9"/>
      <c r="J990" s="9"/>
      <c r="K990" s="10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3"/>
      <c r="AM990" s="3"/>
      <c r="AN990" s="10"/>
      <c r="AO990" s="3"/>
      <c r="AP990" s="3"/>
      <c r="AQ990" s="3"/>
      <c r="AR990" s="3"/>
      <c r="AS990" s="3"/>
      <c r="AT990" s="3"/>
      <c r="AU990" s="3"/>
      <c r="AV990" s="3"/>
    </row>
    <row r="991" spans="1:48" ht="15.4" x14ac:dyDescent="0.35">
      <c r="A991" s="9"/>
      <c r="B991" s="3"/>
      <c r="C991" s="10"/>
      <c r="D991" s="10"/>
      <c r="E991" s="10"/>
      <c r="F991" s="10"/>
      <c r="G991" s="3"/>
      <c r="H991" s="9"/>
      <c r="I991" s="9"/>
      <c r="J991" s="9"/>
      <c r="K991" s="10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3"/>
      <c r="AM991" s="3"/>
      <c r="AN991" s="10"/>
      <c r="AO991" s="3"/>
      <c r="AP991" s="3"/>
      <c r="AQ991" s="3"/>
      <c r="AR991" s="3"/>
      <c r="AS991" s="3"/>
      <c r="AT991" s="3"/>
      <c r="AU991" s="3"/>
      <c r="AV991" s="3"/>
    </row>
    <row r="992" spans="1:48" ht="15.4" x14ac:dyDescent="0.35">
      <c r="A992" s="9"/>
      <c r="B992" s="3"/>
      <c r="C992" s="10"/>
      <c r="D992" s="10"/>
      <c r="E992" s="10"/>
      <c r="F992" s="10"/>
      <c r="G992" s="3"/>
      <c r="H992" s="9"/>
      <c r="I992" s="9"/>
      <c r="J992" s="9"/>
      <c r="K992" s="10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3"/>
      <c r="AM992" s="3"/>
      <c r="AN992" s="10"/>
      <c r="AO992" s="3"/>
      <c r="AP992" s="3"/>
      <c r="AQ992" s="3"/>
      <c r="AR992" s="3"/>
      <c r="AS992" s="3"/>
      <c r="AT992" s="3"/>
      <c r="AU992" s="3"/>
      <c r="AV992" s="3"/>
    </row>
    <row r="993" spans="1:48" ht="15.4" x14ac:dyDescent="0.35">
      <c r="A993" s="9"/>
      <c r="B993" s="3"/>
      <c r="C993" s="10"/>
      <c r="D993" s="10"/>
      <c r="E993" s="10"/>
      <c r="F993" s="10"/>
      <c r="G993" s="3"/>
      <c r="H993" s="9"/>
      <c r="I993" s="9"/>
      <c r="J993" s="9"/>
      <c r="K993" s="10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3"/>
      <c r="AM993" s="3"/>
      <c r="AN993" s="10"/>
      <c r="AO993" s="3"/>
      <c r="AP993" s="3"/>
      <c r="AQ993" s="3"/>
      <c r="AR993" s="3"/>
      <c r="AS993" s="3"/>
      <c r="AT993" s="3"/>
      <c r="AU993" s="3"/>
      <c r="AV993" s="3"/>
    </row>
    <row r="994" spans="1:48" ht="15.4" x14ac:dyDescent="0.35">
      <c r="A994" s="9"/>
      <c r="B994" s="3"/>
      <c r="C994" s="10"/>
      <c r="D994" s="10"/>
      <c r="E994" s="10"/>
      <c r="F994" s="10"/>
      <c r="G994" s="3"/>
      <c r="H994" s="9"/>
      <c r="I994" s="9"/>
      <c r="J994" s="9"/>
      <c r="K994" s="10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3"/>
      <c r="AM994" s="3"/>
      <c r="AN994" s="10"/>
      <c r="AO994" s="3"/>
      <c r="AP994" s="3"/>
      <c r="AQ994" s="3"/>
      <c r="AR994" s="3"/>
      <c r="AS994" s="3"/>
      <c r="AT994" s="3"/>
      <c r="AU994" s="3"/>
      <c r="AV994" s="3"/>
    </row>
    <row r="995" spans="1:48" ht="15.4" x14ac:dyDescent="0.35">
      <c r="A995" s="9"/>
      <c r="B995" s="3"/>
      <c r="C995" s="10"/>
      <c r="D995" s="10"/>
      <c r="E995" s="10"/>
      <c r="F995" s="10"/>
      <c r="G995" s="3"/>
      <c r="H995" s="9"/>
      <c r="I995" s="9"/>
      <c r="J995" s="9"/>
      <c r="K995" s="10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3"/>
      <c r="AM995" s="3"/>
      <c r="AN995" s="10"/>
      <c r="AO995" s="3"/>
      <c r="AP995" s="3"/>
      <c r="AQ995" s="3"/>
      <c r="AR995" s="3"/>
      <c r="AS995" s="3"/>
      <c r="AT995" s="3"/>
      <c r="AU995" s="3"/>
      <c r="AV995" s="3"/>
    </row>
    <row r="996" spans="1:48" ht="15.4" x14ac:dyDescent="0.35">
      <c r="A996" s="9"/>
      <c r="B996" s="3"/>
      <c r="C996" s="10"/>
      <c r="D996" s="10"/>
      <c r="E996" s="10"/>
      <c r="F996" s="10"/>
      <c r="G996" s="3"/>
      <c r="H996" s="9"/>
      <c r="I996" s="9"/>
      <c r="J996" s="9"/>
      <c r="K996" s="10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3"/>
      <c r="AM996" s="3"/>
      <c r="AN996" s="10"/>
      <c r="AO996" s="3"/>
      <c r="AP996" s="3"/>
      <c r="AQ996" s="3"/>
      <c r="AR996" s="3"/>
      <c r="AS996" s="3"/>
      <c r="AT996" s="3"/>
      <c r="AU996" s="3"/>
      <c r="AV996" s="3"/>
    </row>
    <row r="997" spans="1:48" ht="15.4" x14ac:dyDescent="0.35">
      <c r="A997" s="9"/>
      <c r="B997" s="3"/>
      <c r="C997" s="10"/>
      <c r="D997" s="10"/>
      <c r="E997" s="10"/>
      <c r="F997" s="10"/>
      <c r="G997" s="3"/>
      <c r="H997" s="9"/>
      <c r="I997" s="9"/>
      <c r="J997" s="9"/>
      <c r="K997" s="10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3"/>
      <c r="AM997" s="3"/>
      <c r="AN997" s="10"/>
      <c r="AO997" s="3"/>
      <c r="AP997" s="3"/>
      <c r="AQ997" s="3"/>
      <c r="AR997" s="3"/>
      <c r="AS997" s="3"/>
      <c r="AT997" s="3"/>
      <c r="AU997" s="3"/>
      <c r="AV997" s="3"/>
    </row>
    <row r="998" spans="1:48" ht="15.4" x14ac:dyDescent="0.35">
      <c r="A998" s="9"/>
      <c r="B998" s="3"/>
      <c r="C998" s="10"/>
      <c r="D998" s="10"/>
      <c r="E998" s="10"/>
      <c r="F998" s="10"/>
      <c r="G998" s="3"/>
      <c r="H998" s="9"/>
      <c r="I998" s="9"/>
      <c r="J998" s="9"/>
      <c r="K998" s="10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3"/>
      <c r="AM998" s="3"/>
      <c r="AN998" s="10"/>
      <c r="AO998" s="3"/>
      <c r="AP998" s="3"/>
      <c r="AQ998" s="3"/>
      <c r="AR998" s="3"/>
      <c r="AS998" s="3"/>
      <c r="AT998" s="3"/>
      <c r="AU998" s="3"/>
      <c r="AV998" s="3"/>
    </row>
    <row r="999" spans="1:48" ht="15.4" x14ac:dyDescent="0.35">
      <c r="A999" s="9"/>
      <c r="B999" s="3"/>
      <c r="C999" s="10"/>
      <c r="D999" s="10"/>
      <c r="E999" s="10"/>
      <c r="F999" s="10"/>
      <c r="G999" s="3"/>
      <c r="H999" s="9"/>
      <c r="I999" s="9"/>
      <c r="J999" s="9"/>
      <c r="K999" s="10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3"/>
      <c r="AM999" s="3"/>
      <c r="AN999" s="10"/>
      <c r="AO999" s="3"/>
      <c r="AP999" s="3"/>
      <c r="AQ999" s="3"/>
      <c r="AR999" s="3"/>
      <c r="AS999" s="3"/>
      <c r="AT999" s="3"/>
      <c r="AU999" s="3"/>
      <c r="AV999" s="3"/>
    </row>
    <row r="1000" spans="1:48" ht="15.4" x14ac:dyDescent="0.35">
      <c r="A1000" s="9"/>
      <c r="B1000" s="3"/>
      <c r="C1000" s="10"/>
      <c r="D1000" s="10"/>
      <c r="E1000" s="10"/>
      <c r="F1000" s="10"/>
      <c r="G1000" s="3"/>
      <c r="H1000" s="9"/>
      <c r="I1000" s="9"/>
      <c r="J1000" s="9"/>
      <c r="K1000" s="10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3"/>
      <c r="AM1000" s="3"/>
      <c r="AN1000" s="10"/>
      <c r="AO1000" s="3"/>
      <c r="AP1000" s="3"/>
      <c r="AQ1000" s="3"/>
      <c r="AR1000" s="3"/>
      <c r="AS1000" s="3"/>
      <c r="AT1000" s="3"/>
      <c r="AU1000" s="3"/>
      <c r="AV100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panel_2020_2024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Phuong Ngan</cp:lastModifiedBy>
  <dcterms:modified xsi:type="dcterms:W3CDTF">2026-02-25T08:35:32Z</dcterms:modified>
</cp:coreProperties>
</file>